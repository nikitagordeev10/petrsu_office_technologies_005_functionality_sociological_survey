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tgor\YandexDisk\Объёмные объекты\ПРОЕКТЫ - ПетрГУ\1 курс, 1 семестр\Офисные технологии\Лабораторная работа 4\"/>
    </mc:Choice>
  </mc:AlternateContent>
  <xr:revisionPtr revIDLastSave="0" documentId="13_ncr:1_{4CB43C5B-60F3-4B9E-A361-6650C937BB1C}" xr6:coauthVersionLast="47" xr6:coauthVersionMax="47" xr10:uidLastSave="{00000000-0000-0000-0000-000000000000}"/>
  <bookViews>
    <workbookView xWindow="-108" yWindow="-108" windowWidth="23256" windowHeight="12720" activeTab="1" xr2:uid="{4C8ABE85-71FC-46AA-B970-5A01C498F149}"/>
  </bookViews>
  <sheets>
    <sheet name="Опрос" sheetId="2" r:id="rId1"/>
    <sheet name="Статистика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3" l="1"/>
  <c r="D26" i="3"/>
  <c r="E26" i="3"/>
  <c r="F26" i="3"/>
  <c r="G26" i="3"/>
  <c r="H26" i="3"/>
  <c r="I26" i="3"/>
  <c r="D27" i="3" l="1"/>
  <c r="E27" i="3"/>
  <c r="F27" i="3"/>
  <c r="G27" i="3"/>
  <c r="H27" i="3"/>
  <c r="I27" i="3"/>
  <c r="D28" i="3"/>
  <c r="E28" i="3"/>
  <c r="F28" i="3"/>
  <c r="G28" i="3"/>
  <c r="H28" i="3"/>
  <c r="I28" i="3"/>
  <c r="D29" i="3"/>
  <c r="E29" i="3"/>
  <c r="F29" i="3"/>
  <c r="G29" i="3"/>
  <c r="H29" i="3"/>
  <c r="I29" i="3"/>
  <c r="D30" i="3"/>
  <c r="E30" i="3"/>
  <c r="F30" i="3"/>
  <c r="G30" i="3"/>
  <c r="H30" i="3"/>
  <c r="I30" i="3"/>
  <c r="D31" i="3"/>
  <c r="E31" i="3"/>
  <c r="F31" i="3"/>
  <c r="G31" i="3"/>
  <c r="H31" i="3"/>
  <c r="I31" i="3"/>
  <c r="D32" i="3"/>
  <c r="E32" i="3"/>
  <c r="F32" i="3"/>
  <c r="G32" i="3"/>
  <c r="H32" i="3"/>
  <c r="I32" i="3"/>
  <c r="D33" i="3"/>
  <c r="E33" i="3"/>
  <c r="F33" i="3"/>
  <c r="G33" i="3"/>
  <c r="H33" i="3"/>
  <c r="I33" i="3"/>
  <c r="D34" i="3"/>
  <c r="E34" i="3"/>
  <c r="F34" i="3"/>
  <c r="G34" i="3"/>
  <c r="H34" i="3"/>
  <c r="I34" i="3"/>
  <c r="D35" i="3"/>
  <c r="E35" i="3"/>
  <c r="F35" i="3"/>
  <c r="G35" i="3"/>
  <c r="H35" i="3"/>
  <c r="I35" i="3"/>
  <c r="D36" i="3"/>
  <c r="E36" i="3"/>
  <c r="F36" i="3"/>
  <c r="G36" i="3"/>
  <c r="H36" i="3"/>
  <c r="I36" i="3"/>
  <c r="D37" i="3"/>
  <c r="E37" i="3"/>
  <c r="F37" i="3"/>
  <c r="G37" i="3"/>
  <c r="H37" i="3"/>
  <c r="I37" i="3"/>
  <c r="D38" i="3"/>
  <c r="E38" i="3"/>
  <c r="F38" i="3"/>
  <c r="G38" i="3"/>
  <c r="H38" i="3"/>
  <c r="I38" i="3"/>
  <c r="D39" i="3"/>
  <c r="E39" i="3"/>
  <c r="F39" i="3"/>
  <c r="G39" i="3"/>
  <c r="H39" i="3"/>
  <c r="I39" i="3"/>
  <c r="D40" i="3"/>
  <c r="E40" i="3"/>
  <c r="F40" i="3"/>
  <c r="G40" i="3"/>
  <c r="H40" i="3"/>
  <c r="I40" i="3"/>
  <c r="D41" i="3"/>
  <c r="E41" i="3"/>
  <c r="F41" i="3"/>
  <c r="G41" i="3"/>
  <c r="H41" i="3"/>
  <c r="I41" i="3"/>
  <c r="D42" i="3"/>
  <c r="E42" i="3"/>
  <c r="F42" i="3"/>
  <c r="G42" i="3"/>
  <c r="H42" i="3"/>
  <c r="I42" i="3"/>
  <c r="D43" i="3"/>
  <c r="E43" i="3"/>
  <c r="F43" i="3"/>
  <c r="G43" i="3"/>
  <c r="H43" i="3"/>
  <c r="I43" i="3"/>
  <c r="D44" i="3"/>
  <c r="E44" i="3"/>
  <c r="F44" i="3"/>
  <c r="G44" i="3"/>
  <c r="H44" i="3"/>
  <c r="I44" i="3"/>
  <c r="D45" i="3"/>
  <c r="E45" i="3"/>
  <c r="F45" i="3"/>
  <c r="G45" i="3"/>
  <c r="H45" i="3"/>
  <c r="I45" i="3"/>
  <c r="D46" i="3"/>
  <c r="E46" i="3"/>
  <c r="F46" i="3"/>
  <c r="G46" i="3"/>
  <c r="H46" i="3"/>
  <c r="I46" i="3"/>
  <c r="D47" i="3"/>
  <c r="E47" i="3"/>
  <c r="F47" i="3"/>
  <c r="G47" i="3"/>
  <c r="H47" i="3"/>
  <c r="I47" i="3"/>
  <c r="D48" i="3"/>
  <c r="E48" i="3"/>
  <c r="F48" i="3"/>
  <c r="G48" i="3"/>
  <c r="H48" i="3"/>
  <c r="I48" i="3"/>
  <c r="D49" i="3"/>
  <c r="E49" i="3"/>
  <c r="F49" i="3"/>
  <c r="G49" i="3"/>
  <c r="H49" i="3"/>
  <c r="I49" i="3"/>
  <c r="D50" i="3"/>
  <c r="E50" i="3"/>
  <c r="F50" i="3"/>
  <c r="G50" i="3"/>
  <c r="H50" i="3"/>
  <c r="I50" i="3"/>
  <c r="D51" i="3"/>
  <c r="E51" i="3"/>
  <c r="F51" i="3"/>
  <c r="G51" i="3"/>
  <c r="H51" i="3"/>
  <c r="I51" i="3"/>
  <c r="D52" i="3"/>
  <c r="E52" i="3"/>
  <c r="F52" i="3"/>
  <c r="G52" i="3"/>
  <c r="H52" i="3"/>
  <c r="I52" i="3"/>
  <c r="D53" i="3"/>
  <c r="E53" i="3"/>
  <c r="F53" i="3"/>
  <c r="G53" i="3"/>
  <c r="H53" i="3"/>
  <c r="I53" i="3"/>
  <c r="D54" i="3"/>
  <c r="E54" i="3"/>
  <c r="F54" i="3"/>
  <c r="G54" i="3"/>
  <c r="H54" i="3"/>
  <c r="I54" i="3"/>
  <c r="D55" i="3"/>
  <c r="E55" i="3"/>
  <c r="F55" i="3"/>
  <c r="G55" i="3"/>
  <c r="H55" i="3"/>
  <c r="I55" i="3"/>
  <c r="D56" i="3"/>
  <c r="E56" i="3"/>
  <c r="F56" i="3"/>
  <c r="G56" i="3"/>
  <c r="H56" i="3"/>
  <c r="I56" i="3"/>
  <c r="C52" i="3"/>
  <c r="C53" i="3"/>
  <c r="C54" i="3"/>
  <c r="C55" i="3"/>
  <c r="C56" i="3"/>
  <c r="C50" i="3"/>
  <c r="C51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27" i="3"/>
  <c r="D6" i="3" l="1"/>
  <c r="E6" i="3"/>
  <c r="F6" i="3"/>
  <c r="G6" i="3"/>
  <c r="D7" i="3"/>
  <c r="E7" i="3"/>
  <c r="F7" i="3"/>
  <c r="G7" i="3"/>
  <c r="D8" i="3"/>
  <c r="E8" i="3"/>
  <c r="F8" i="3"/>
  <c r="G8" i="3"/>
  <c r="C8" i="3"/>
  <c r="C6" i="3"/>
  <c r="C7" i="3"/>
  <c r="G16" i="3"/>
  <c r="G15" i="3"/>
  <c r="G14" i="3"/>
  <c r="C10" i="3" l="1"/>
  <c r="F10" i="3"/>
  <c r="E10" i="3"/>
  <c r="E11" i="3" s="1"/>
  <c r="G21" i="3" s="1"/>
  <c r="D10" i="3"/>
  <c r="D11" i="3" s="1"/>
  <c r="F22" i="3" s="1"/>
  <c r="G10" i="3"/>
  <c r="C112" i="3" l="1"/>
  <c r="C110" i="3"/>
  <c r="C86" i="3"/>
  <c r="C107" i="3"/>
  <c r="C108" i="3"/>
  <c r="C84" i="3"/>
  <c r="C105" i="3"/>
  <c r="C106" i="3"/>
  <c r="C82" i="3"/>
  <c r="C101" i="3"/>
  <c r="C104" i="3"/>
  <c r="C111" i="3"/>
  <c r="C97" i="3"/>
  <c r="C102" i="3"/>
  <c r="C109" i="3"/>
  <c r="C93" i="3"/>
  <c r="C98" i="3"/>
  <c r="C100" i="3"/>
  <c r="C103" i="3"/>
  <c r="C87" i="3"/>
  <c r="C99" i="3"/>
  <c r="C95" i="3"/>
  <c r="C96" i="3"/>
  <c r="C94" i="3"/>
  <c r="C91" i="3"/>
  <c r="C92" i="3"/>
  <c r="C89" i="3"/>
  <c r="C90" i="3"/>
  <c r="C85" i="3"/>
  <c r="C88" i="3"/>
  <c r="C83" i="3"/>
  <c r="C11" i="3"/>
  <c r="E23" i="3" s="1"/>
  <c r="L49" i="3"/>
  <c r="L28" i="3"/>
  <c r="L40" i="3"/>
  <c r="L48" i="3"/>
  <c r="L31" i="3"/>
  <c r="L43" i="3"/>
  <c r="L36" i="3"/>
  <c r="L35" i="3"/>
  <c r="L47" i="3"/>
  <c r="L37" i="3"/>
  <c r="L45" i="3"/>
  <c r="L50" i="3"/>
  <c r="L33" i="3"/>
  <c r="L46" i="3"/>
  <c r="L51" i="3"/>
  <c r="L44" i="3"/>
  <c r="L29" i="3"/>
  <c r="L42" i="3"/>
  <c r="L55" i="3"/>
  <c r="L38" i="3"/>
  <c r="L27" i="3"/>
  <c r="L34" i="3"/>
  <c r="L53" i="3"/>
  <c r="L32" i="3"/>
  <c r="L54" i="3"/>
  <c r="L41" i="3"/>
  <c r="L30" i="3"/>
  <c r="L39" i="3"/>
  <c r="L56" i="3"/>
  <c r="L52" i="3"/>
  <c r="M28" i="3"/>
  <c r="M40" i="3"/>
  <c r="M52" i="3"/>
  <c r="M29" i="3"/>
  <c r="M41" i="3"/>
  <c r="M30" i="3"/>
  <c r="M42" i="3"/>
  <c r="M54" i="3"/>
  <c r="M31" i="3"/>
  <c r="M43" i="3"/>
  <c r="M55" i="3"/>
  <c r="M32" i="3"/>
  <c r="M44" i="3"/>
  <c r="M56" i="3"/>
  <c r="M33" i="3"/>
  <c r="M45" i="3"/>
  <c r="M27" i="3"/>
  <c r="M34" i="3"/>
  <c r="M46" i="3"/>
  <c r="M38" i="3"/>
  <c r="M35" i="3"/>
  <c r="M47" i="3"/>
  <c r="M36" i="3"/>
  <c r="M48" i="3"/>
  <c r="M50" i="3"/>
  <c r="M37" i="3"/>
  <c r="M49" i="3"/>
  <c r="M39" i="3"/>
  <c r="M51" i="3"/>
  <c r="M53" i="3"/>
  <c r="E22" i="3"/>
  <c r="E21" i="3"/>
  <c r="D118" i="3" s="1"/>
  <c r="F11" i="3"/>
  <c r="H23" i="3" s="1"/>
  <c r="K43" i="3"/>
  <c r="G11" i="3"/>
  <c r="I21" i="3" s="1"/>
  <c r="K28" i="3"/>
  <c r="K40" i="3"/>
  <c r="K52" i="3"/>
  <c r="J33" i="3"/>
  <c r="J45" i="3"/>
  <c r="J34" i="3"/>
  <c r="K54" i="3"/>
  <c r="K29" i="3"/>
  <c r="K41" i="3"/>
  <c r="K53" i="3"/>
  <c r="K42" i="3"/>
  <c r="J47" i="3"/>
  <c r="K30" i="3"/>
  <c r="K31" i="3"/>
  <c r="K55" i="3"/>
  <c r="J36" i="3"/>
  <c r="J48" i="3"/>
  <c r="K56" i="3"/>
  <c r="K32" i="3"/>
  <c r="K44" i="3"/>
  <c r="K33" i="3"/>
  <c r="K45" i="3"/>
  <c r="K27" i="3"/>
  <c r="J38" i="3"/>
  <c r="J50" i="3"/>
  <c r="J31" i="3"/>
  <c r="K34" i="3"/>
  <c r="K46" i="3"/>
  <c r="J39" i="3"/>
  <c r="J51" i="3"/>
  <c r="K49" i="3"/>
  <c r="K50" i="3"/>
  <c r="K35" i="3"/>
  <c r="K47" i="3"/>
  <c r="J30" i="3"/>
  <c r="J40" i="3"/>
  <c r="J52" i="3"/>
  <c r="J29" i="3"/>
  <c r="J54" i="3"/>
  <c r="J43" i="3"/>
  <c r="J55" i="3"/>
  <c r="K36" i="3"/>
  <c r="K48" i="3"/>
  <c r="J28" i="3"/>
  <c r="J41" i="3"/>
  <c r="J53" i="3"/>
  <c r="J42" i="3"/>
  <c r="K38" i="3"/>
  <c r="K39" i="3"/>
  <c r="K51" i="3"/>
  <c r="J32" i="3"/>
  <c r="J44" i="3"/>
  <c r="J56" i="3"/>
  <c r="J27" i="3"/>
  <c r="J46" i="3"/>
  <c r="J35" i="3"/>
  <c r="J49" i="3"/>
  <c r="J37" i="3"/>
  <c r="K37" i="3"/>
  <c r="G23" i="3"/>
  <c r="G22" i="3"/>
  <c r="D120" i="3" s="1"/>
  <c r="F21" i="3"/>
  <c r="D119" i="3" s="1"/>
  <c r="F23" i="3"/>
  <c r="G61" i="3" l="1"/>
  <c r="L61" i="3" s="1"/>
  <c r="G60" i="3"/>
  <c r="L60" i="3" s="1"/>
  <c r="G62" i="3"/>
  <c r="L62" i="3" s="1"/>
  <c r="H22" i="3"/>
  <c r="G57" i="3"/>
  <c r="L57" i="3"/>
  <c r="I23" i="3"/>
  <c r="D23" i="3" s="1"/>
  <c r="I22" i="3"/>
  <c r="D122" i="3" s="1"/>
  <c r="H21" i="3"/>
  <c r="D21" i="3" l="1"/>
  <c r="D121" i="3"/>
  <c r="D22" i="3"/>
  <c r="I19" i="3"/>
</calcChain>
</file>

<file path=xl/sharedStrings.xml><?xml version="1.0" encoding="utf-8"?>
<sst xmlns="http://schemas.openxmlformats.org/spreadsheetml/2006/main" count="236" uniqueCount="75">
  <si>
    <t>Социалогический опрос</t>
  </si>
  <si>
    <t>Студент</t>
  </si>
  <si>
    <t>Группа</t>
  </si>
  <si>
    <t>Андреев М. Л.</t>
  </si>
  <si>
    <t>Комарова В. А.</t>
  </si>
  <si>
    <t>Зайцева В. Д.</t>
  </si>
  <si>
    <t>Егоров А. И.</t>
  </si>
  <si>
    <t>Ковалева А. К.</t>
  </si>
  <si>
    <t>Гордеева Е. С.</t>
  </si>
  <si>
    <t>Попова А. Р.</t>
  </si>
  <si>
    <t>Павлова Т. Г.</t>
  </si>
  <si>
    <t>Яковлева В. Т.</t>
  </si>
  <si>
    <t>Николаева М. М.</t>
  </si>
  <si>
    <t>Калинина В. Ф.</t>
  </si>
  <si>
    <t>Потапов А. М.</t>
  </si>
  <si>
    <t>Логинов А. Т.</t>
  </si>
  <si>
    <t>Крюкова Е. С.</t>
  </si>
  <si>
    <t>Михайлова С. М.</t>
  </si>
  <si>
    <t>Морозов Д. Р.</t>
  </si>
  <si>
    <t>Шувалов А. Е.</t>
  </si>
  <si>
    <t>Рогов И. М.</t>
  </si>
  <si>
    <t>Евсеев И. П.</t>
  </si>
  <si>
    <t>Максимова В. С.</t>
  </si>
  <si>
    <t>Никитин А. Е.</t>
  </si>
  <si>
    <t>Быков М. И.</t>
  </si>
  <si>
    <t>Никитина А. М.</t>
  </si>
  <si>
    <t>Носов Г. М.</t>
  </si>
  <si>
    <t>Наумов М. А.</t>
  </si>
  <si>
    <t>Андреев Д. А.</t>
  </si>
  <si>
    <t>Семин М. А.</t>
  </si>
  <si>
    <t>Иванова А. И.</t>
  </si>
  <si>
    <t>Зайцева М. М.</t>
  </si>
  <si>
    <t>Матвеев А. И.</t>
  </si>
  <si>
    <t>Вопрос 2: нужен ли буфет в учебном корпусе?</t>
  </si>
  <si>
    <t>Вопрос 1: cледует ли изучать информатику на старших курсах?</t>
  </si>
  <si>
    <t>Вопрос 3: вы хотели бы учиться во вторую смену?</t>
  </si>
  <si>
    <t>Вопрос 4: нужны ли игры в компьютерном классе?</t>
  </si>
  <si>
    <t>Вопрос 5: Следует ли использовать компьютеры при изучении других дисциплин?</t>
  </si>
  <si>
    <t>да</t>
  </si>
  <si>
    <t>нет</t>
  </si>
  <si>
    <t>не знаю</t>
  </si>
  <si>
    <t>Номер группы, студенты которой наиболее активно выступали за принятое в результате опроса решение</t>
  </si>
  <si>
    <t>студент, ответы которого совпали с мнением большинства по всем вопросам</t>
  </si>
  <si>
    <t>Результаты опроса</t>
  </si>
  <si>
    <t>Ответы</t>
  </si>
  <si>
    <t>Вопрос 1</t>
  </si>
  <si>
    <t>Вопрос 2</t>
  </si>
  <si>
    <t>Вопрос 3</t>
  </si>
  <si>
    <t>Вопрос 4</t>
  </si>
  <si>
    <t>Вопрос 5</t>
  </si>
  <si>
    <t>Количество студентов, принявших участие в опросе из 1й группы.</t>
  </si>
  <si>
    <t>Количество студентов, принявших участие в опросе из 2й группы.</t>
  </si>
  <si>
    <t>Количество студентов, принявших участие в опросе из 3й группы.</t>
  </si>
  <si>
    <t>Группа 1</t>
  </si>
  <si>
    <t>1) Анализ ответов</t>
  </si>
  <si>
    <t>2) Принятое решение</t>
  </si>
  <si>
    <t>Решение</t>
  </si>
  <si>
    <t>Мнения</t>
  </si>
  <si>
    <t>Группа 2</t>
  </si>
  <si>
    <t>Группа 3</t>
  </si>
  <si>
    <t>Количество согласных</t>
  </si>
  <si>
    <t>Согласен с большинством</t>
  </si>
  <si>
    <t>Совпадений с принятым</t>
  </si>
  <si>
    <t>1 совпал, 5 не совпал</t>
  </si>
  <si>
    <t>“Баба Яга - против”</t>
  </si>
  <si>
    <t xml:space="preserve"> процент студентов отвечал, руководствуясь принципом “Баба Яга - против”,</t>
  </si>
  <si>
    <t>процент студентов 1 группы, проголосовавших за принятое решение</t>
  </si>
  <si>
    <t>процент студентов 1 группы, проголосовавших за не принятое решение</t>
  </si>
  <si>
    <t>процент студентов 2 группы, проголосовавших за принятое решение</t>
  </si>
  <si>
    <t>процент студентов 2 группы, проголосовавших за не принятое решение</t>
  </si>
  <si>
    <t>процент студентов 3 группы, проголосовавших за принятое решение</t>
  </si>
  <si>
    <t>процент студентов 3 группы, проголосовавших за не принятое решение</t>
  </si>
  <si>
    <t>3, 4, 5, 6, 7</t>
  </si>
  <si>
    <t>ответы на вопрос 1 совпали с большинством</t>
  </si>
  <si>
    <t>количество ответов, которые совпали с принятым в результате опроса решением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</si>
</sst>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10" fontId="0" fillId="0" borderId="1" xfId="0" applyNumberFormat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0" fontId="4" fillId="0" borderId="0" xfId="0" applyNumberFormat="1" applyFont="1" applyFill="1" applyBorder="1" applyAlignment="1">
      <alignment horizontal="center" wrapText="1"/>
    </xf>
    <xf numFmtId="0" fontId="0" fillId="0" borderId="0" xfId="0" applyFill="1" applyBorder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10" fontId="0" fillId="2" borderId="7" xfId="0" applyNumberFormat="1" applyFill="1" applyBorder="1" applyAlignment="1">
      <alignment horizontal="center" vertical="center"/>
    </xf>
    <xf numFmtId="10" fontId="0" fillId="2" borderId="6" xfId="0" applyNumberFormat="1" applyFill="1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alignment horizontal="center" textRotation="0" indent="0" justifyLastLine="0" shrinkToFit="0" readingOrder="0"/>
    </dxf>
    <dxf>
      <numFmt numFmtId="0" formatCode="General"/>
      <alignment horizont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4"/>
          <c:order val="0"/>
          <c:tx>
            <c:v>1 группа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(Статистика!$C$60,Статистика!$H$60)</c:f>
              <c:strCache>
                <c:ptCount val="2"/>
                <c:pt idx="0">
                  <c:v>процент студентов 1 группы, проголосовавших за принятое решение</c:v>
                </c:pt>
                <c:pt idx="1">
                  <c:v>процент студентов 1 группы, проголосовавших за не принятое решение</c:v>
                </c:pt>
              </c:strCache>
            </c:strRef>
          </c:cat>
          <c:val>
            <c:numRef>
              <c:f>(Статистика!$G$60,Статистика!$L$60)</c:f>
              <c:numCache>
                <c:formatCode>General</c:formatCode>
                <c:ptCount val="2"/>
                <c:pt idx="0">
                  <c:v>1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C85-449B-8211-561A1674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2 группа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(Статистика!$C$61,Статистика!$H$61)</c:f>
              <c:strCache>
                <c:ptCount val="2"/>
                <c:pt idx="0">
                  <c:v>процент студентов 2 группы, проголосовавших за принятое решение</c:v>
                </c:pt>
                <c:pt idx="1">
                  <c:v>процент студентов 2 группы, проголосовавших за не принятое решение</c:v>
                </c:pt>
              </c:strCache>
            </c:strRef>
          </c:cat>
          <c:val>
            <c:numRef>
              <c:f>(Статистика!$G$61,Статистика!$L$61)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B2-4DC0-BEF4-55BB6EAC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3 группа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(Статистика!$C$62,Статистика!$H$62)</c:f>
              <c:strCache>
                <c:ptCount val="2"/>
                <c:pt idx="0">
                  <c:v>процент студентов 3 группы, проголосовавших за принятое решение</c:v>
                </c:pt>
                <c:pt idx="1">
                  <c:v>процент студентов 3 группы, проголосовавших за не принятое решение</c:v>
                </c:pt>
              </c:strCache>
            </c:strRef>
          </c:cat>
          <c:val>
            <c:numRef>
              <c:f>(Статистика!$G$62,Статистика!$L$62)</c:f>
              <c:numCache>
                <c:formatCode>General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E-4A4D-A7F9-AF1BF3444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/>
              <a:t>Количество</a:t>
            </a:r>
            <a:r>
              <a:rPr lang="ru-RU" sz="1200" baseline="0"/>
              <a:t> ответов, которые совпали с принятым в результате опроса решением</a:t>
            </a:r>
            <a:endParaRPr lang="ru-RU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Статистика!$D$114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Статистика!$C$118:$C$122</c:f>
              <c:strCache>
                <c:ptCount val="5"/>
                <c:pt idx="0">
                  <c:v>Вопрос 1</c:v>
                </c:pt>
                <c:pt idx="1">
                  <c:v>Вопрос 2</c:v>
                </c:pt>
                <c:pt idx="2">
                  <c:v>Вопрос 3</c:v>
                </c:pt>
                <c:pt idx="3">
                  <c:v>Вопрос 4</c:v>
                </c:pt>
                <c:pt idx="4">
                  <c:v>Вопрос 5</c:v>
                </c:pt>
              </c:strCache>
            </c:strRef>
          </c:cat>
          <c:val>
            <c:numRef>
              <c:f>Статистика!$D$118:$D$122</c:f>
              <c:numCache>
                <c:formatCode>0.00%</c:formatCode>
                <c:ptCount val="5"/>
                <c:pt idx="0">
                  <c:v>0.66666666666666663</c:v>
                </c:pt>
                <c:pt idx="1">
                  <c:v>0.6333333333333333</c:v>
                </c:pt>
                <c:pt idx="2">
                  <c:v>0.66666666666666663</c:v>
                </c:pt>
                <c:pt idx="3">
                  <c:v>0.73333333333333328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5-4E7F-9A81-1CFC18890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0451311"/>
        <c:axId val="2120452559"/>
      </c:barChart>
      <c:catAx>
        <c:axId val="2120451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Вопросы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0452559"/>
        <c:crosses val="autoZero"/>
        <c:auto val="1"/>
        <c:lblAlgn val="ctr"/>
        <c:lblOffset val="100"/>
        <c:noMultiLvlLbl val="0"/>
      </c:catAx>
      <c:valAx>
        <c:axId val="212045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Совпадение,</a:t>
                </a:r>
                <a:r>
                  <a:rPr lang="ru-RU" baseline="0"/>
                  <a:t> в процентах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04513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62</xdr:row>
      <xdr:rowOff>109538</xdr:rowOff>
    </xdr:from>
    <xdr:to>
      <xdr:col>5</xdr:col>
      <xdr:colOff>1114425</xdr:colOff>
      <xdr:row>77</xdr:row>
      <xdr:rowOff>138113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ACE249F-EA31-4DBA-8894-9CD6B66CBE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161925</xdr:colOff>
      <xdr:row>62</xdr:row>
      <xdr:rowOff>119063</xdr:rowOff>
    </xdr:from>
    <xdr:to>
      <xdr:col>10</xdr:col>
      <xdr:colOff>85725</xdr:colOff>
      <xdr:row>77</xdr:row>
      <xdr:rowOff>147638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BBA9D1E4-2EBD-48F6-A67B-42E8C3B93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285750</xdr:colOff>
      <xdr:row>62</xdr:row>
      <xdr:rowOff>119063</xdr:rowOff>
    </xdr:from>
    <xdr:to>
      <xdr:col>15</xdr:col>
      <xdr:colOff>152400</xdr:colOff>
      <xdr:row>77</xdr:row>
      <xdr:rowOff>147638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21F76FB-8801-4D74-BC5F-34B028778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163285</xdr:colOff>
      <xdr:row>113</xdr:row>
      <xdr:rowOff>10887</xdr:rowOff>
    </xdr:from>
    <xdr:to>
      <xdr:col>8</xdr:col>
      <xdr:colOff>217713</xdr:colOff>
      <xdr:row>129</xdr:row>
      <xdr:rowOff>43543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886A0D1-53A2-4A8D-B844-80DE4634E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DD5812-E9D6-41D6-9CEB-970A687918A5}" name="Таблица1" displayName="Таблица1" ref="B4:H34" totalsRowShown="0" headerRowDxfId="27">
  <autoFilter ref="B4:H34" xr:uid="{1BDD5812-E9D6-41D6-9CEB-970A687918A5}"/>
  <tableColumns count="7">
    <tableColumn id="1" xr3:uid="{A30C94DE-764F-489A-966C-1D5B3BCBBE56}" name="Студент" dataDxfId="26"/>
    <tableColumn id="2" xr3:uid="{A93A4625-ECAC-4920-B747-C6D9AF5E27D0}" name="Группа" dataDxfId="25"/>
    <tableColumn id="3" xr3:uid="{0F332EC3-9C38-4ADF-BE36-2702EE7FCCF4}" name="Вопрос 1: cледует ли изучать информатику на старших курсах?" dataDxfId="24"/>
    <tableColumn id="4" xr3:uid="{74DA0E66-DAC2-422E-A603-18C43B2FC66D}" name="Вопрос 2: нужен ли буфет в учебном корпусе?" dataDxfId="23"/>
    <tableColumn id="5" xr3:uid="{BF14F52B-FDB4-44DD-8BFB-C4D854364141}" name="Вопрос 3: вы хотели бы учиться во вторую смену?" dataDxfId="22"/>
    <tableColumn id="6" xr3:uid="{4E8C843E-3F42-4AE3-A957-0528E5EB63D6}" name="Вопрос 4: нужны ли игры в компьютерном классе?" dataDxfId="21"/>
    <tableColumn id="7" xr3:uid="{9B186348-1D41-4CA3-BB2D-5ABCB6609CD0}" name="Вопрос 5: Следует ли использовать компьютеры при изучении других дисциплин?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96BCF5-DB00-4EC5-A544-507EAD688B81}" name="Таблица2" displayName="Таблица2" ref="B5:G8" totalsRowShown="0" headerRowDxfId="19">
  <autoFilter ref="B5:G8" xr:uid="{BF96BCF5-DB00-4EC5-A544-507EAD688B81}"/>
  <tableColumns count="6">
    <tableColumn id="1" xr3:uid="{76E1C7E8-8A21-4360-9A6E-94D835767C1A}" name="Ответы" dataDxfId="18"/>
    <tableColumn id="2" xr3:uid="{3EFFFC44-86C3-4F53-9760-C135B435E1F1}" name="Вопрос 1" dataDxfId="17"/>
    <tableColumn id="3" xr3:uid="{836F5E84-3F24-4CC9-BE29-C33C8E3BF40D}" name="Вопрос 2" dataDxfId="16"/>
    <tableColumn id="4" xr3:uid="{12965633-B672-475B-9CF0-E238E1A099E1}" name="Вопрос 3" dataDxfId="15"/>
    <tableColumn id="5" xr3:uid="{1A946C78-013E-4A96-9B6B-033F627E9F04}" name="Вопрос 4" dataDxfId="14"/>
    <tableColumn id="6" xr3:uid="{197160DD-5A5A-401D-B7B1-963AD30C6331}" name="Вопрос 5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75AF5C-998E-441C-B9B7-6A217A092034}" name="Таблица4" displayName="Таблица4" ref="C81:C112" totalsRowShown="0" headerRowDxfId="9" dataDxfId="7" headerRowBorderDxfId="11" tableBorderDxfId="12" totalsRowBorderDxfId="10">
  <autoFilter ref="C81:C112" xr:uid="{FB75AF5C-998E-441C-B9B7-6A217A092034}">
    <filterColumn colId="0">
      <filters>
        <filter val="Андреев М. Л."/>
        <filter val="Быков М. И."/>
        <filter val="Гордеева Е. С."/>
        <filter val="Евсеев И. П."/>
        <filter val="Зайцева В. Д."/>
        <filter val="Ковалева А. К."/>
        <filter val="Крюкова Е. С."/>
        <filter val="Логинов А. Т."/>
        <filter val="Максимова В. С."/>
        <filter val="Матвеев А. И."/>
        <filter val="Михайлова С. М."/>
        <filter val="Морозов Д. Р."/>
        <filter val="Наумов М. А."/>
        <filter val="Никитин А. Е."/>
        <filter val="Никитина А. М."/>
        <filter val="Носов Г. М."/>
        <filter val="Павлова Т. Г."/>
        <filter val="Попова А. Р."/>
        <filter val="Потапов А. М."/>
        <filter val="Яковлева В. Т."/>
      </filters>
    </filterColumn>
  </autoFilter>
  <tableColumns count="1">
    <tableColumn id="1" xr3:uid="{D4427707-9855-4612-9F13-4449EA3971B7}" name="ответы на вопрос 1 совпали с большинством" dataDxfId="8">
      <calculatedColumnFormula>IF(E27=$C$10,C27,0)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6BE5-3B88-45BF-A5D1-00C29D12FFA2}">
  <sheetPr codeName="Лист1"/>
  <dimension ref="A3:I86"/>
  <sheetViews>
    <sheetView zoomScale="70" zoomScaleNormal="70" workbookViewId="0">
      <selection activeCell="C12" sqref="C12"/>
    </sheetView>
  </sheetViews>
  <sheetFormatPr defaultRowHeight="14.4" x14ac:dyDescent="0.3"/>
  <cols>
    <col min="2" max="3" width="17" customWidth="1"/>
    <col min="4" max="4" width="33.21875" style="2" customWidth="1"/>
    <col min="5" max="8" width="33.21875" customWidth="1"/>
  </cols>
  <sheetData>
    <row r="3" spans="2:9" ht="43.2" customHeight="1" x14ac:dyDescent="0.3">
      <c r="B3" s="35" t="s">
        <v>0</v>
      </c>
      <c r="C3" s="35"/>
      <c r="D3" s="35"/>
      <c r="E3" s="35"/>
      <c r="F3" s="35"/>
      <c r="G3" s="35"/>
      <c r="H3" s="35"/>
    </row>
    <row r="4" spans="2:9" ht="43.2" customHeight="1" x14ac:dyDescent="0.3">
      <c r="B4" s="13" t="s">
        <v>1</v>
      </c>
      <c r="C4" s="13" t="s">
        <v>2</v>
      </c>
      <c r="D4" s="13" t="s">
        <v>34</v>
      </c>
      <c r="E4" s="13" t="s">
        <v>33</v>
      </c>
      <c r="F4" s="13" t="s">
        <v>35</v>
      </c>
      <c r="G4" s="13" t="s">
        <v>36</v>
      </c>
      <c r="H4" s="13" t="s">
        <v>37</v>
      </c>
      <c r="I4" s="2"/>
    </row>
    <row r="5" spans="2:9" x14ac:dyDescent="0.3">
      <c r="B5" s="5" t="s">
        <v>3</v>
      </c>
      <c r="C5" s="6">
        <v>2</v>
      </c>
      <c r="D5" s="14" t="s">
        <v>38</v>
      </c>
      <c r="E5" s="14" t="s">
        <v>38</v>
      </c>
      <c r="F5" s="14" t="s">
        <v>38</v>
      </c>
      <c r="G5" s="14" t="s">
        <v>38</v>
      </c>
      <c r="H5" s="14" t="s">
        <v>38</v>
      </c>
    </row>
    <row r="6" spans="2:9" x14ac:dyDescent="0.3">
      <c r="B6" s="5" t="s">
        <v>4</v>
      </c>
      <c r="C6" s="6">
        <v>2</v>
      </c>
      <c r="D6" s="14" t="s">
        <v>39</v>
      </c>
      <c r="E6" s="14" t="s">
        <v>38</v>
      </c>
      <c r="F6" s="14" t="s">
        <v>38</v>
      </c>
      <c r="G6" s="14" t="s">
        <v>38</v>
      </c>
      <c r="H6" s="14" t="s">
        <v>40</v>
      </c>
    </row>
    <row r="7" spans="2:9" x14ac:dyDescent="0.3">
      <c r="B7" s="5" t="s">
        <v>5</v>
      </c>
      <c r="C7" s="6">
        <v>2</v>
      </c>
      <c r="D7" s="14" t="s">
        <v>38</v>
      </c>
      <c r="E7" s="14" t="s">
        <v>38</v>
      </c>
      <c r="F7" s="14" t="s">
        <v>38</v>
      </c>
      <c r="G7" s="14" t="s">
        <v>38</v>
      </c>
      <c r="H7" s="14" t="s">
        <v>38</v>
      </c>
    </row>
    <row r="8" spans="2:9" x14ac:dyDescent="0.3">
      <c r="B8" s="5" t="s">
        <v>6</v>
      </c>
      <c r="C8" s="6">
        <v>2</v>
      </c>
      <c r="D8" s="14" t="s">
        <v>40</v>
      </c>
      <c r="E8" s="14" t="s">
        <v>38</v>
      </c>
      <c r="F8" s="14" t="s">
        <v>40</v>
      </c>
      <c r="G8" s="14" t="s">
        <v>38</v>
      </c>
      <c r="H8" s="14" t="s">
        <v>38</v>
      </c>
    </row>
    <row r="9" spans="2:9" x14ac:dyDescent="0.3">
      <c r="B9" s="5" t="s">
        <v>7</v>
      </c>
      <c r="C9" s="6">
        <v>2</v>
      </c>
      <c r="D9" s="14" t="s">
        <v>38</v>
      </c>
      <c r="E9" s="14" t="s">
        <v>38</v>
      </c>
      <c r="F9" s="14" t="s">
        <v>40</v>
      </c>
      <c r="G9" s="14" t="s">
        <v>38</v>
      </c>
      <c r="H9" s="14" t="s">
        <v>39</v>
      </c>
    </row>
    <row r="10" spans="2:9" x14ac:dyDescent="0.3">
      <c r="B10" s="5" t="s">
        <v>8</v>
      </c>
      <c r="C10" s="6">
        <v>2</v>
      </c>
      <c r="D10" s="14" t="s">
        <v>38</v>
      </c>
      <c r="E10" s="14" t="s">
        <v>38</v>
      </c>
      <c r="F10" s="14" t="s">
        <v>40</v>
      </c>
      <c r="G10" s="14" t="s">
        <v>40</v>
      </c>
      <c r="H10" s="14" t="s">
        <v>39</v>
      </c>
    </row>
    <row r="11" spans="2:9" x14ac:dyDescent="0.3">
      <c r="B11" s="5" t="s">
        <v>9</v>
      </c>
      <c r="C11" s="6">
        <v>2</v>
      </c>
      <c r="D11" s="14" t="s">
        <v>38</v>
      </c>
      <c r="E11" s="14" t="s">
        <v>38</v>
      </c>
      <c r="F11" s="14" t="s">
        <v>40</v>
      </c>
      <c r="G11" s="14" t="s">
        <v>38</v>
      </c>
      <c r="H11" s="14" t="s">
        <v>39</v>
      </c>
    </row>
    <row r="12" spans="2:9" x14ac:dyDescent="0.3">
      <c r="B12" s="5" t="s">
        <v>10</v>
      </c>
      <c r="C12" s="6">
        <v>2</v>
      </c>
      <c r="D12" s="14" t="s">
        <v>38</v>
      </c>
      <c r="E12" s="14" t="s">
        <v>38</v>
      </c>
      <c r="F12" s="14" t="s">
        <v>40</v>
      </c>
      <c r="G12" s="14" t="s">
        <v>38</v>
      </c>
      <c r="H12" s="14" t="s">
        <v>39</v>
      </c>
    </row>
    <row r="13" spans="2:9" x14ac:dyDescent="0.3">
      <c r="B13" s="5" t="s">
        <v>11</v>
      </c>
      <c r="C13" s="6">
        <v>1</v>
      </c>
      <c r="D13" s="14" t="s">
        <v>38</v>
      </c>
      <c r="E13" s="14" t="s">
        <v>38</v>
      </c>
      <c r="F13" s="14" t="s">
        <v>40</v>
      </c>
      <c r="G13" s="14" t="s">
        <v>38</v>
      </c>
      <c r="H13" s="14" t="s">
        <v>39</v>
      </c>
    </row>
    <row r="14" spans="2:9" x14ac:dyDescent="0.3">
      <c r="B14" s="5" t="s">
        <v>12</v>
      </c>
      <c r="C14" s="6">
        <v>1</v>
      </c>
      <c r="D14" s="14" t="s">
        <v>39</v>
      </c>
      <c r="E14" s="14" t="s">
        <v>40</v>
      </c>
      <c r="F14" s="14" t="s">
        <v>40</v>
      </c>
      <c r="G14" s="14" t="s">
        <v>39</v>
      </c>
      <c r="H14" s="14" t="s">
        <v>39</v>
      </c>
    </row>
    <row r="15" spans="2:9" x14ac:dyDescent="0.3">
      <c r="B15" s="5" t="s">
        <v>13</v>
      </c>
      <c r="C15" s="6">
        <v>1</v>
      </c>
      <c r="D15" s="14" t="s">
        <v>39</v>
      </c>
      <c r="E15" s="14" t="s">
        <v>40</v>
      </c>
      <c r="F15" s="14" t="s">
        <v>40</v>
      </c>
      <c r="G15" s="14" t="s">
        <v>39</v>
      </c>
      <c r="H15" s="14" t="s">
        <v>38</v>
      </c>
    </row>
    <row r="16" spans="2:9" x14ac:dyDescent="0.3">
      <c r="B16" s="5" t="s">
        <v>14</v>
      </c>
      <c r="C16" s="6">
        <v>1</v>
      </c>
      <c r="D16" s="14" t="s">
        <v>38</v>
      </c>
      <c r="E16" s="14" t="s">
        <v>40</v>
      </c>
      <c r="F16" s="14" t="s">
        <v>40</v>
      </c>
      <c r="G16" s="14" t="s">
        <v>38</v>
      </c>
      <c r="H16" s="14" t="s">
        <v>39</v>
      </c>
    </row>
    <row r="17" spans="2:8" x14ac:dyDescent="0.3">
      <c r="B17" s="5" t="s">
        <v>15</v>
      </c>
      <c r="C17" s="6">
        <v>1</v>
      </c>
      <c r="D17" s="14" t="s">
        <v>38</v>
      </c>
      <c r="E17" s="14" t="s">
        <v>40</v>
      </c>
      <c r="F17" s="14" t="s">
        <v>40</v>
      </c>
      <c r="G17" s="14" t="s">
        <v>38</v>
      </c>
      <c r="H17" s="14" t="s">
        <v>39</v>
      </c>
    </row>
    <row r="18" spans="2:8" x14ac:dyDescent="0.3">
      <c r="B18" s="5" t="s">
        <v>16</v>
      </c>
      <c r="C18" s="6">
        <v>1</v>
      </c>
      <c r="D18" s="14" t="s">
        <v>38</v>
      </c>
      <c r="E18" s="14" t="s">
        <v>40</v>
      </c>
      <c r="F18" s="14" t="s">
        <v>40</v>
      </c>
      <c r="G18" s="14" t="s">
        <v>38</v>
      </c>
      <c r="H18" s="14" t="s">
        <v>39</v>
      </c>
    </row>
    <row r="19" spans="2:8" x14ac:dyDescent="0.3">
      <c r="B19" s="5" t="s">
        <v>17</v>
      </c>
      <c r="C19" s="6">
        <v>1</v>
      </c>
      <c r="D19" s="14" t="s">
        <v>38</v>
      </c>
      <c r="E19" s="14" t="s">
        <v>40</v>
      </c>
      <c r="F19" s="14" t="s">
        <v>40</v>
      </c>
      <c r="G19" s="14" t="s">
        <v>38</v>
      </c>
      <c r="H19" s="14" t="s">
        <v>39</v>
      </c>
    </row>
    <row r="20" spans="2:8" x14ac:dyDescent="0.3">
      <c r="B20" s="5" t="s">
        <v>18</v>
      </c>
      <c r="C20" s="6">
        <v>1</v>
      </c>
      <c r="D20" s="14" t="s">
        <v>38</v>
      </c>
      <c r="E20" s="14" t="s">
        <v>40</v>
      </c>
      <c r="F20" s="14" t="s">
        <v>40</v>
      </c>
      <c r="G20" s="14" t="s">
        <v>38</v>
      </c>
      <c r="H20" s="14" t="s">
        <v>39</v>
      </c>
    </row>
    <row r="21" spans="2:8" x14ac:dyDescent="0.3">
      <c r="B21" s="5" t="s">
        <v>19</v>
      </c>
      <c r="C21" s="6">
        <v>1</v>
      </c>
      <c r="D21" s="14" t="s">
        <v>39</v>
      </c>
      <c r="E21" s="14" t="s">
        <v>39</v>
      </c>
      <c r="F21" s="14" t="s">
        <v>38</v>
      </c>
      <c r="G21" s="14" t="s">
        <v>39</v>
      </c>
      <c r="H21" s="14" t="s">
        <v>38</v>
      </c>
    </row>
    <row r="22" spans="2:8" x14ac:dyDescent="0.3">
      <c r="B22" s="5" t="s">
        <v>20</v>
      </c>
      <c r="C22" s="6">
        <v>3</v>
      </c>
      <c r="D22" s="14" t="s">
        <v>39</v>
      </c>
      <c r="E22" s="14" t="s">
        <v>39</v>
      </c>
      <c r="F22" s="14" t="s">
        <v>38</v>
      </c>
      <c r="G22" s="14" t="s">
        <v>39</v>
      </c>
      <c r="H22" s="14" t="s">
        <v>38</v>
      </c>
    </row>
    <row r="23" spans="2:8" x14ac:dyDescent="0.3">
      <c r="B23" s="5" t="s">
        <v>21</v>
      </c>
      <c r="C23" s="6">
        <v>3</v>
      </c>
      <c r="D23" s="14" t="s">
        <v>38</v>
      </c>
      <c r="E23" s="14" t="s">
        <v>38</v>
      </c>
      <c r="F23" s="14" t="s">
        <v>40</v>
      </c>
      <c r="G23" s="14" t="s">
        <v>38</v>
      </c>
      <c r="H23" s="14" t="s">
        <v>39</v>
      </c>
    </row>
    <row r="24" spans="2:8" x14ac:dyDescent="0.3">
      <c r="B24" s="5" t="s">
        <v>22</v>
      </c>
      <c r="C24" s="6">
        <v>3</v>
      </c>
      <c r="D24" s="14" t="s">
        <v>38</v>
      </c>
      <c r="E24" s="14" t="s">
        <v>38</v>
      </c>
      <c r="F24" s="14" t="s">
        <v>40</v>
      </c>
      <c r="G24" s="14" t="s">
        <v>38</v>
      </c>
      <c r="H24" s="14" t="s">
        <v>39</v>
      </c>
    </row>
    <row r="25" spans="2:8" x14ac:dyDescent="0.3">
      <c r="B25" s="5" t="s">
        <v>23</v>
      </c>
      <c r="C25" s="6">
        <v>3</v>
      </c>
      <c r="D25" s="14" t="s">
        <v>38</v>
      </c>
      <c r="E25" s="14" t="s">
        <v>38</v>
      </c>
      <c r="F25" s="14" t="s">
        <v>40</v>
      </c>
      <c r="G25" s="14" t="s">
        <v>40</v>
      </c>
      <c r="H25" s="14" t="s">
        <v>39</v>
      </c>
    </row>
    <row r="26" spans="2:8" x14ac:dyDescent="0.3">
      <c r="B26" s="5" t="s">
        <v>24</v>
      </c>
      <c r="C26" s="6">
        <v>3</v>
      </c>
      <c r="D26" s="14" t="s">
        <v>38</v>
      </c>
      <c r="E26" s="14" t="s">
        <v>38</v>
      </c>
      <c r="F26" s="14" t="s">
        <v>40</v>
      </c>
      <c r="G26" s="14" t="s">
        <v>40</v>
      </c>
      <c r="H26" s="14" t="s">
        <v>39</v>
      </c>
    </row>
    <row r="27" spans="2:8" x14ac:dyDescent="0.3">
      <c r="B27" s="5" t="s">
        <v>25</v>
      </c>
      <c r="C27" s="6">
        <v>3</v>
      </c>
      <c r="D27" s="14" t="s">
        <v>38</v>
      </c>
      <c r="E27" s="14" t="s">
        <v>38</v>
      </c>
      <c r="F27" s="14" t="s">
        <v>40</v>
      </c>
      <c r="G27" s="14" t="s">
        <v>38</v>
      </c>
      <c r="H27" s="14" t="s">
        <v>39</v>
      </c>
    </row>
    <row r="28" spans="2:8" x14ac:dyDescent="0.3">
      <c r="B28" s="5" t="s">
        <v>26</v>
      </c>
      <c r="C28" s="6">
        <v>3</v>
      </c>
      <c r="D28" s="14" t="s">
        <v>38</v>
      </c>
      <c r="E28" s="14" t="s">
        <v>38</v>
      </c>
      <c r="F28" s="14" t="s">
        <v>40</v>
      </c>
      <c r="G28" s="14" t="s">
        <v>40</v>
      </c>
      <c r="H28" s="14" t="s">
        <v>39</v>
      </c>
    </row>
    <row r="29" spans="2:8" x14ac:dyDescent="0.3">
      <c r="B29" s="5" t="s">
        <v>27</v>
      </c>
      <c r="C29" s="6">
        <v>3</v>
      </c>
      <c r="D29" s="14" t="s">
        <v>38</v>
      </c>
      <c r="E29" s="14" t="s">
        <v>38</v>
      </c>
      <c r="F29" s="14" t="s">
        <v>40</v>
      </c>
      <c r="G29" s="14" t="s">
        <v>38</v>
      </c>
      <c r="H29" s="14" t="s">
        <v>39</v>
      </c>
    </row>
    <row r="30" spans="2:8" x14ac:dyDescent="0.3">
      <c r="B30" s="5" t="s">
        <v>28</v>
      </c>
      <c r="C30" s="6">
        <v>3</v>
      </c>
      <c r="D30" s="14" t="s">
        <v>39</v>
      </c>
      <c r="E30" s="14" t="s">
        <v>38</v>
      </c>
      <c r="F30" s="14" t="s">
        <v>39</v>
      </c>
      <c r="G30" s="14" t="s">
        <v>38</v>
      </c>
      <c r="H30" s="14" t="s">
        <v>39</v>
      </c>
    </row>
    <row r="31" spans="2:8" x14ac:dyDescent="0.3">
      <c r="B31" s="5" t="s">
        <v>29</v>
      </c>
      <c r="C31" s="6">
        <v>3</v>
      </c>
      <c r="D31" s="14" t="s">
        <v>39</v>
      </c>
      <c r="E31" s="14" t="s">
        <v>38</v>
      </c>
      <c r="F31" s="14" t="s">
        <v>39</v>
      </c>
      <c r="G31" s="14" t="s">
        <v>38</v>
      </c>
      <c r="H31" s="14" t="s">
        <v>39</v>
      </c>
    </row>
    <row r="32" spans="2:8" x14ac:dyDescent="0.3">
      <c r="B32" s="5" t="s">
        <v>30</v>
      </c>
      <c r="C32" s="6">
        <v>3</v>
      </c>
      <c r="D32" s="14" t="s">
        <v>39</v>
      </c>
      <c r="E32" s="14" t="s">
        <v>39</v>
      </c>
      <c r="F32" s="14" t="s">
        <v>39</v>
      </c>
      <c r="G32" s="14" t="s">
        <v>38</v>
      </c>
      <c r="H32" s="14" t="s">
        <v>39</v>
      </c>
    </row>
    <row r="33" spans="1:8" x14ac:dyDescent="0.3">
      <c r="B33" s="5" t="s">
        <v>31</v>
      </c>
      <c r="C33" s="6">
        <v>3</v>
      </c>
      <c r="D33" s="14" t="s">
        <v>39</v>
      </c>
      <c r="E33" s="14" t="s">
        <v>39</v>
      </c>
      <c r="F33" s="14" t="s">
        <v>39</v>
      </c>
      <c r="G33" s="14" t="s">
        <v>38</v>
      </c>
      <c r="H33" s="14" t="s">
        <v>38</v>
      </c>
    </row>
    <row r="34" spans="1:8" x14ac:dyDescent="0.3">
      <c r="B34" s="5" t="s">
        <v>32</v>
      </c>
      <c r="C34" s="6">
        <v>3</v>
      </c>
      <c r="D34" s="14" t="s">
        <v>38</v>
      </c>
      <c r="E34" s="14" t="s">
        <v>38</v>
      </c>
      <c r="F34" s="14" t="s">
        <v>38</v>
      </c>
      <c r="G34" s="14" t="s">
        <v>38</v>
      </c>
      <c r="H34" s="14" t="s">
        <v>38</v>
      </c>
    </row>
    <row r="35" spans="1:8" x14ac:dyDescent="0.3">
      <c r="A35" s="3"/>
      <c r="B35" s="3"/>
      <c r="C35" s="3"/>
      <c r="D35" s="3"/>
      <c r="E35" s="3"/>
      <c r="F35" s="3"/>
      <c r="G35" s="3"/>
      <c r="H35" s="3"/>
    </row>
    <row r="36" spans="1:8" x14ac:dyDescent="0.3">
      <c r="A36" s="3"/>
      <c r="B36" s="3"/>
      <c r="C36" s="3"/>
      <c r="D36" s="3"/>
      <c r="E36" s="3"/>
      <c r="F36" s="3"/>
      <c r="G36" s="3"/>
      <c r="H36" s="3"/>
    </row>
    <row r="37" spans="1:8" ht="14.4" customHeight="1" x14ac:dyDescent="0.3">
      <c r="A37" s="3"/>
      <c r="B37" s="3"/>
      <c r="C37" s="3"/>
      <c r="D37" s="3"/>
      <c r="E37" s="3"/>
      <c r="F37" s="3"/>
      <c r="G37" s="3"/>
      <c r="H37" s="3"/>
    </row>
    <row r="38" spans="1:8" ht="14.4" customHeight="1" x14ac:dyDescent="0.3">
      <c r="A38" s="3"/>
      <c r="B38" s="3"/>
      <c r="C38" s="3"/>
      <c r="D38" s="3"/>
      <c r="E38" s="3"/>
      <c r="F38" s="3"/>
      <c r="G38" s="3"/>
      <c r="H38" s="3"/>
    </row>
    <row r="39" spans="1:8" x14ac:dyDescent="0.3">
      <c r="A39" s="3"/>
      <c r="B39" s="3"/>
      <c r="C39" s="3"/>
      <c r="D39" s="3"/>
      <c r="E39" s="3"/>
      <c r="F39" s="3"/>
      <c r="G39" s="3"/>
      <c r="H39" s="3"/>
    </row>
    <row r="40" spans="1:8" x14ac:dyDescent="0.3">
      <c r="A40" s="3"/>
      <c r="B40" s="3"/>
      <c r="C40" s="3"/>
      <c r="D40" s="3"/>
      <c r="E40" s="3"/>
      <c r="F40" s="3"/>
      <c r="G40" s="3"/>
      <c r="H40" s="3"/>
    </row>
    <row r="41" spans="1:8" x14ac:dyDescent="0.3">
      <c r="A41" s="3"/>
      <c r="B41" s="3"/>
      <c r="C41" s="3"/>
      <c r="D41" s="3"/>
      <c r="E41" s="3"/>
      <c r="F41" s="3"/>
      <c r="G41" s="3"/>
      <c r="H41" s="3"/>
    </row>
    <row r="42" spans="1:8" x14ac:dyDescent="0.3">
      <c r="A42" s="3"/>
      <c r="B42" s="3"/>
      <c r="C42" s="3"/>
      <c r="D42" s="3"/>
      <c r="E42" s="3"/>
      <c r="F42" s="3"/>
      <c r="G42" s="3"/>
      <c r="H42" s="3"/>
    </row>
    <row r="43" spans="1:8" x14ac:dyDescent="0.3">
      <c r="A43" s="3"/>
      <c r="B43" s="3"/>
      <c r="C43" s="3"/>
      <c r="D43" s="3"/>
      <c r="E43" s="3"/>
      <c r="F43" s="3"/>
      <c r="G43" s="3"/>
      <c r="H43" s="3"/>
    </row>
    <row r="44" spans="1:8" x14ac:dyDescent="0.3">
      <c r="A44" s="3"/>
      <c r="B44" s="3"/>
      <c r="C44" s="3"/>
      <c r="D44" s="3"/>
      <c r="E44" s="3"/>
      <c r="F44" s="3"/>
      <c r="G44" s="3"/>
      <c r="H44" s="3"/>
    </row>
    <row r="45" spans="1:8" x14ac:dyDescent="0.3">
      <c r="A45" s="3"/>
      <c r="B45" s="3"/>
      <c r="C45" s="3"/>
      <c r="D45" s="3"/>
      <c r="E45" s="3"/>
      <c r="F45" s="3"/>
      <c r="G45" s="3"/>
      <c r="H45" s="3"/>
    </row>
    <row r="46" spans="1:8" x14ac:dyDescent="0.3">
      <c r="A46" s="3"/>
      <c r="B46" s="3"/>
      <c r="C46" s="3"/>
      <c r="D46" s="3"/>
      <c r="E46" s="3"/>
      <c r="F46" s="3"/>
      <c r="G46" s="3"/>
      <c r="H46" s="3"/>
    </row>
    <row r="47" spans="1:8" x14ac:dyDescent="0.3">
      <c r="A47" s="3"/>
      <c r="B47" s="3"/>
      <c r="C47" s="3"/>
      <c r="D47" s="3"/>
      <c r="E47" s="3"/>
      <c r="F47" s="3"/>
      <c r="G47" s="3"/>
      <c r="H47" s="3"/>
    </row>
    <row r="48" spans="1:8" x14ac:dyDescent="0.3">
      <c r="B48" s="11"/>
      <c r="C48" s="11"/>
      <c r="D48" s="10"/>
      <c r="E48" s="11"/>
      <c r="F48" s="11"/>
      <c r="G48" s="11"/>
      <c r="H48" s="11"/>
    </row>
    <row r="49" spans="2:8" x14ac:dyDescent="0.3">
      <c r="B49" s="11"/>
      <c r="C49" s="11"/>
      <c r="D49" s="10"/>
      <c r="E49" s="11"/>
      <c r="F49" s="11"/>
      <c r="G49" s="11"/>
      <c r="H49" s="11"/>
    </row>
    <row r="50" spans="2:8" x14ac:dyDescent="0.3">
      <c r="B50" s="11"/>
      <c r="C50" s="11"/>
      <c r="D50" s="10"/>
      <c r="E50" s="11"/>
      <c r="F50" s="11"/>
      <c r="G50" s="11"/>
      <c r="H50" s="11"/>
    </row>
    <row r="51" spans="2:8" x14ac:dyDescent="0.3">
      <c r="B51" s="11"/>
      <c r="C51" s="11"/>
      <c r="D51" s="10"/>
      <c r="E51" s="11"/>
      <c r="F51" s="11"/>
      <c r="G51" s="11"/>
      <c r="H51" s="11"/>
    </row>
    <row r="52" spans="2:8" x14ac:dyDescent="0.3">
      <c r="B52" s="11"/>
      <c r="C52" s="11"/>
      <c r="D52" s="10"/>
      <c r="E52" s="11"/>
      <c r="F52" s="11"/>
      <c r="G52" s="11"/>
      <c r="H52" s="11"/>
    </row>
    <row r="53" spans="2:8" x14ac:dyDescent="0.3">
      <c r="B53" s="11"/>
      <c r="C53" s="11"/>
      <c r="D53" s="10"/>
      <c r="E53" s="11"/>
      <c r="F53" s="11"/>
      <c r="G53" s="11"/>
      <c r="H53" s="11"/>
    </row>
    <row r="54" spans="2:8" x14ac:dyDescent="0.3">
      <c r="B54" s="11"/>
      <c r="C54" s="11"/>
      <c r="D54" s="10"/>
      <c r="E54" s="11"/>
      <c r="F54" s="11"/>
      <c r="G54" s="11"/>
      <c r="H54" s="11"/>
    </row>
    <row r="55" spans="2:8" x14ac:dyDescent="0.3">
      <c r="B55" s="11"/>
      <c r="C55" s="11"/>
      <c r="D55" s="10"/>
      <c r="E55" s="11"/>
      <c r="F55" s="11"/>
      <c r="G55" s="11"/>
      <c r="H55" s="11"/>
    </row>
    <row r="56" spans="2:8" x14ac:dyDescent="0.3">
      <c r="B56" s="11"/>
      <c r="C56" s="11"/>
      <c r="D56" s="10"/>
      <c r="E56" s="11"/>
      <c r="F56" s="11"/>
      <c r="G56" s="11"/>
      <c r="H56" s="11"/>
    </row>
    <row r="57" spans="2:8" x14ac:dyDescent="0.3">
      <c r="B57" s="11"/>
      <c r="C57" s="11"/>
      <c r="D57" s="10"/>
      <c r="E57" s="11"/>
      <c r="F57" s="11"/>
      <c r="G57" s="11"/>
      <c r="H57" s="11"/>
    </row>
    <row r="58" spans="2:8" x14ac:dyDescent="0.3">
      <c r="B58" s="11"/>
      <c r="C58" s="11"/>
      <c r="D58" s="10"/>
      <c r="E58" s="11"/>
      <c r="F58" s="11"/>
      <c r="G58" s="11"/>
      <c r="H58" s="11"/>
    </row>
    <row r="59" spans="2:8" x14ac:dyDescent="0.3">
      <c r="B59" s="11"/>
      <c r="C59" s="11"/>
      <c r="D59" s="10"/>
      <c r="E59" s="11"/>
      <c r="F59" s="11"/>
      <c r="G59" s="11"/>
      <c r="H59" s="11"/>
    </row>
    <row r="60" spans="2:8" x14ac:dyDescent="0.3">
      <c r="B60" s="11"/>
      <c r="C60" s="11"/>
      <c r="D60" s="10"/>
      <c r="E60" s="11"/>
      <c r="F60" s="11"/>
      <c r="G60" s="11"/>
      <c r="H60" s="11"/>
    </row>
    <row r="61" spans="2:8" x14ac:dyDescent="0.3">
      <c r="B61" s="11"/>
      <c r="C61" s="11"/>
      <c r="D61" s="10"/>
      <c r="E61" s="11"/>
      <c r="F61" s="11"/>
      <c r="G61" s="11"/>
      <c r="H61" s="11"/>
    </row>
    <row r="62" spans="2:8" x14ac:dyDescent="0.3">
      <c r="B62" s="11"/>
      <c r="C62" s="11"/>
      <c r="D62" s="10"/>
      <c r="E62" s="11"/>
      <c r="F62" s="11"/>
      <c r="G62" s="11"/>
      <c r="H62" s="11"/>
    </row>
    <row r="63" spans="2:8" x14ac:dyDescent="0.3">
      <c r="B63" s="11"/>
      <c r="C63" s="11"/>
      <c r="D63" s="10"/>
      <c r="E63" s="11"/>
      <c r="F63" s="11"/>
      <c r="G63" s="11"/>
      <c r="H63" s="11"/>
    </row>
    <row r="64" spans="2:8" x14ac:dyDescent="0.3">
      <c r="B64" s="11"/>
      <c r="C64" s="11"/>
      <c r="D64" s="10"/>
      <c r="E64" s="11"/>
      <c r="F64" s="11"/>
      <c r="G64" s="11"/>
      <c r="H64" s="11"/>
    </row>
    <row r="65" spans="2:8" x14ac:dyDescent="0.3">
      <c r="B65" s="11"/>
      <c r="C65" s="11"/>
      <c r="D65" s="10"/>
      <c r="E65" s="11"/>
      <c r="F65" s="11"/>
      <c r="G65" s="11"/>
      <c r="H65" s="11"/>
    </row>
    <row r="66" spans="2:8" x14ac:dyDescent="0.3">
      <c r="B66" s="11"/>
      <c r="C66" s="11"/>
      <c r="D66" s="10"/>
      <c r="E66" s="11"/>
      <c r="F66" s="11"/>
      <c r="G66" s="11"/>
      <c r="H66" s="11"/>
    </row>
    <row r="67" spans="2:8" x14ac:dyDescent="0.3">
      <c r="B67" s="11"/>
      <c r="C67" s="11"/>
      <c r="D67" s="10"/>
      <c r="E67" s="11"/>
      <c r="F67" s="11"/>
      <c r="G67" s="11"/>
      <c r="H67" s="11"/>
    </row>
    <row r="68" spans="2:8" x14ac:dyDescent="0.3">
      <c r="B68" s="11"/>
      <c r="C68" s="11"/>
      <c r="D68" s="10"/>
      <c r="E68" s="11"/>
      <c r="F68" s="11"/>
      <c r="G68" s="11"/>
      <c r="H68" s="11"/>
    </row>
    <row r="69" spans="2:8" x14ac:dyDescent="0.3">
      <c r="B69" s="11"/>
      <c r="C69" s="11"/>
      <c r="D69" s="10"/>
      <c r="E69" s="11"/>
      <c r="F69" s="11"/>
      <c r="G69" s="11"/>
      <c r="H69" s="11"/>
    </row>
    <row r="70" spans="2:8" x14ac:dyDescent="0.3">
      <c r="B70" s="11"/>
      <c r="C70" s="11"/>
      <c r="D70" s="10"/>
      <c r="E70" s="11"/>
      <c r="F70" s="11"/>
      <c r="G70" s="11"/>
      <c r="H70" s="11"/>
    </row>
    <row r="71" spans="2:8" x14ac:dyDescent="0.3">
      <c r="B71" s="11"/>
      <c r="C71" s="11"/>
      <c r="D71" s="10"/>
      <c r="E71" s="11"/>
      <c r="F71" s="11"/>
      <c r="G71" s="11"/>
      <c r="H71" s="11"/>
    </row>
    <row r="72" spans="2:8" x14ac:dyDescent="0.3">
      <c r="B72" s="11"/>
      <c r="C72" s="11"/>
      <c r="D72" s="10"/>
      <c r="E72" s="11"/>
      <c r="F72" s="11"/>
      <c r="G72" s="11"/>
      <c r="H72" s="11"/>
    </row>
    <row r="73" spans="2:8" x14ac:dyDescent="0.3">
      <c r="B73" s="11"/>
      <c r="C73" s="11"/>
      <c r="D73" s="10"/>
      <c r="E73" s="11"/>
      <c r="F73" s="11"/>
      <c r="G73" s="11"/>
      <c r="H73" s="11"/>
    </row>
    <row r="74" spans="2:8" x14ac:dyDescent="0.3">
      <c r="B74" s="11"/>
      <c r="C74" s="11"/>
      <c r="D74" s="10"/>
      <c r="E74" s="11"/>
      <c r="F74" s="11"/>
      <c r="G74" s="11"/>
      <c r="H74" s="11"/>
    </row>
    <row r="75" spans="2:8" x14ac:dyDescent="0.3">
      <c r="B75" s="11"/>
      <c r="C75" s="11"/>
      <c r="D75" s="10"/>
      <c r="E75" s="11"/>
      <c r="F75" s="11"/>
      <c r="G75" s="11"/>
      <c r="H75" s="11"/>
    </row>
    <row r="76" spans="2:8" x14ac:dyDescent="0.3">
      <c r="B76" s="11"/>
      <c r="C76" s="11"/>
      <c r="D76" s="10"/>
      <c r="E76" s="11"/>
      <c r="F76" s="11"/>
      <c r="G76" s="11"/>
      <c r="H76" s="11"/>
    </row>
    <row r="77" spans="2:8" x14ac:dyDescent="0.3">
      <c r="B77" s="11"/>
      <c r="C77" s="11"/>
      <c r="D77" s="10"/>
      <c r="E77" s="11"/>
      <c r="F77" s="11"/>
      <c r="G77" s="11"/>
      <c r="H77" s="11"/>
    </row>
    <row r="78" spans="2:8" x14ac:dyDescent="0.3">
      <c r="B78" s="11"/>
      <c r="C78" s="11"/>
      <c r="D78" s="10"/>
      <c r="E78" s="11"/>
      <c r="F78" s="11"/>
      <c r="G78" s="11"/>
      <c r="H78" s="11"/>
    </row>
    <row r="79" spans="2:8" x14ac:dyDescent="0.3">
      <c r="B79" s="11"/>
      <c r="C79" s="11"/>
      <c r="D79" s="10"/>
      <c r="E79" s="11"/>
      <c r="F79" s="11"/>
      <c r="G79" s="11"/>
      <c r="H79" s="11"/>
    </row>
    <row r="80" spans="2:8" x14ac:dyDescent="0.3">
      <c r="B80" s="11"/>
      <c r="C80" s="11"/>
      <c r="D80" s="10"/>
      <c r="E80" s="11"/>
      <c r="F80" s="11"/>
      <c r="G80" s="11"/>
      <c r="H80" s="11"/>
    </row>
    <row r="81" spans="2:8" x14ac:dyDescent="0.3">
      <c r="B81" s="11"/>
      <c r="C81" s="11"/>
      <c r="D81" s="10"/>
      <c r="E81" s="11"/>
      <c r="F81" s="11"/>
      <c r="G81" s="11"/>
      <c r="H81" s="11"/>
    </row>
    <row r="82" spans="2:8" x14ac:dyDescent="0.3">
      <c r="B82" s="11"/>
      <c r="C82" s="11"/>
      <c r="D82" s="10"/>
      <c r="E82" s="11"/>
      <c r="F82" s="11"/>
      <c r="G82" s="11"/>
      <c r="H82" s="11"/>
    </row>
    <row r="83" spans="2:8" x14ac:dyDescent="0.3">
      <c r="B83" s="11"/>
      <c r="C83" s="11"/>
      <c r="D83" s="10"/>
      <c r="E83" s="11"/>
      <c r="F83" s="11"/>
      <c r="G83" s="11"/>
      <c r="H83" s="11"/>
    </row>
    <row r="84" spans="2:8" x14ac:dyDescent="0.3">
      <c r="B84" s="11"/>
      <c r="C84" s="11"/>
      <c r="D84" s="10"/>
      <c r="E84" s="11"/>
      <c r="F84" s="11"/>
      <c r="G84" s="11"/>
      <c r="H84" s="11"/>
    </row>
    <row r="85" spans="2:8" x14ac:dyDescent="0.3">
      <c r="B85" s="11"/>
      <c r="C85" s="11"/>
      <c r="D85" s="10"/>
      <c r="E85" s="11"/>
      <c r="F85" s="11"/>
      <c r="G85" s="11"/>
      <c r="H85" s="11"/>
    </row>
    <row r="86" spans="2:8" x14ac:dyDescent="0.3">
      <c r="B86" s="11"/>
      <c r="C86" s="11"/>
      <c r="D86" s="10"/>
      <c r="E86" s="11"/>
      <c r="F86" s="11"/>
      <c r="G86" s="11"/>
      <c r="H86" s="11"/>
    </row>
  </sheetData>
  <mergeCells count="1">
    <mergeCell ref="B3:H3"/>
  </mergeCells>
  <phoneticPr fontId="2" type="noConversion"/>
  <dataValidations count="1">
    <dataValidation type="list" allowBlank="1" showInputMessage="1" showErrorMessage="1" sqref="D5:H34" xr:uid="{C5AA98B5-A853-4E49-B396-DE82B64F1914}">
      <formula1>"да, нет, не знаю"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05A1-278E-40FF-9407-FE6A5C38B4F1}">
  <sheetPr codeName="Лист2"/>
  <dimension ref="B2:Y136"/>
  <sheetViews>
    <sheetView tabSelected="1" topLeftCell="A93" zoomScale="70" zoomScaleNormal="70" workbookViewId="0">
      <selection activeCell="L81" sqref="L81"/>
    </sheetView>
  </sheetViews>
  <sheetFormatPr defaultRowHeight="14.4" x14ac:dyDescent="0.3"/>
  <cols>
    <col min="2" max="14" width="17" customWidth="1"/>
  </cols>
  <sheetData>
    <row r="2" spans="2:15" ht="14.4" customHeight="1" x14ac:dyDescent="0.3"/>
    <row r="3" spans="2:15" ht="28.8" customHeight="1" x14ac:dyDescent="0.3">
      <c r="B3" s="35" t="s">
        <v>43</v>
      </c>
      <c r="C3" s="35"/>
      <c r="D3" s="35"/>
      <c r="E3" s="35"/>
      <c r="F3" s="35"/>
      <c r="G3" s="35"/>
      <c r="H3" s="16"/>
    </row>
    <row r="4" spans="2:15" ht="14.4" customHeight="1" x14ac:dyDescent="0.3">
      <c r="B4" s="38" t="s">
        <v>54</v>
      </c>
      <c r="C4" s="39"/>
      <c r="D4" s="39"/>
      <c r="E4" s="39"/>
      <c r="F4" s="39"/>
      <c r="G4" s="39"/>
    </row>
    <row r="5" spans="2:15" x14ac:dyDescent="0.3">
      <c r="B5" s="5" t="s">
        <v>44</v>
      </c>
      <c r="C5" s="5" t="s">
        <v>45</v>
      </c>
      <c r="D5" s="5" t="s">
        <v>46</v>
      </c>
      <c r="E5" s="5" t="s">
        <v>47</v>
      </c>
      <c r="F5" s="5" t="s">
        <v>48</v>
      </c>
      <c r="G5" s="5" t="s">
        <v>49</v>
      </c>
    </row>
    <row r="6" spans="2:15" x14ac:dyDescent="0.3">
      <c r="B6" s="12" t="s">
        <v>38</v>
      </c>
      <c r="C6" s="17">
        <f>COUNTIF(Таблица1[Вопрос 1: cледует ли изучать информатику на старших курсах?],"да")/30</f>
        <v>0.66666666666666663</v>
      </c>
      <c r="D6" s="17">
        <f>COUNTIF(Таблица1[Вопрос 2: нужен ли буфет в учебном корпусе?],"да")/30</f>
        <v>0.6333333333333333</v>
      </c>
      <c r="E6" s="17">
        <f>COUNTIF(Таблица1[Вопрос 3: вы хотели бы учиться во вторую смену?],"да")/30</f>
        <v>0.2</v>
      </c>
      <c r="F6" s="17">
        <f>COUNTIF(Таблица1[Вопрос 4: нужны ли игры в компьютерном классе?],"да")/30</f>
        <v>0.73333333333333328</v>
      </c>
      <c r="G6" s="17">
        <f>COUNTIF(Таблица1[Вопрос 5: Следует ли использовать компьютеры при изучении других дисциплин?],"да")/30</f>
        <v>0.26666666666666666</v>
      </c>
    </row>
    <row r="7" spans="2:15" x14ac:dyDescent="0.3">
      <c r="B7" s="12" t="s">
        <v>39</v>
      </c>
      <c r="C7" s="17">
        <f>COUNTIF(Таблица1[Вопрос 1: cледует ли изучать информатику на старших курсах?],"нет")/30</f>
        <v>0.3</v>
      </c>
      <c r="D7" s="17">
        <f>COUNTIF(Таблица1[Вопрос 2: нужен ли буфет в учебном корпусе?],"нет")/30</f>
        <v>0.13333333333333333</v>
      </c>
      <c r="E7" s="17">
        <f>COUNTIF(Таблица1[Вопрос 3: вы хотели бы учиться во вторую смену?],"нет")/30</f>
        <v>0.13333333333333333</v>
      </c>
      <c r="F7" s="17">
        <f>COUNTIF(Таблица1[Вопрос 4: нужны ли игры в компьютерном классе?],"нет")/30</f>
        <v>0.13333333333333333</v>
      </c>
      <c r="G7" s="17">
        <f>COUNTIF(Таблица1[Вопрос 5: Следует ли использовать компьютеры при изучении других дисциплин?],"нет")/30</f>
        <v>0.7</v>
      </c>
      <c r="L7" s="7"/>
      <c r="M7" s="7"/>
      <c r="N7" s="8"/>
    </row>
    <row r="8" spans="2:15" x14ac:dyDescent="0.3">
      <c r="B8" s="12" t="s">
        <v>40</v>
      </c>
      <c r="C8" s="17">
        <f>COUNTIF(Таблица1[Вопрос 1: cледует ли изучать информатику на старших курсах?],"не знаю")/30</f>
        <v>3.3333333333333333E-2</v>
      </c>
      <c r="D8" s="17">
        <f>COUNTIF(Таблица1[Вопрос 2: нужен ли буфет в учебном корпусе?],"не знаю")/30</f>
        <v>0.23333333333333334</v>
      </c>
      <c r="E8" s="17">
        <f>COUNTIF(Таблица1[Вопрос 3: вы хотели бы учиться во вторую смену?],"не знаю")/30</f>
        <v>0.66666666666666663</v>
      </c>
      <c r="F8" s="17">
        <f>COUNTIF(Таблица1[Вопрос 4: нужны ли игры в компьютерном классе?],"не знаю")/30</f>
        <v>0.13333333333333333</v>
      </c>
      <c r="G8" s="17">
        <f>COUNTIF(Таблица1[Вопрос 5: Следует ли использовать компьютеры при изучении других дисциплин?],"не знаю")/30</f>
        <v>3.3333333333333333E-2</v>
      </c>
      <c r="L8" s="7"/>
      <c r="M8" s="7"/>
      <c r="N8" s="8"/>
    </row>
    <row r="9" spans="2:15" ht="14.4" customHeight="1" x14ac:dyDescent="0.3">
      <c r="B9" s="38" t="s">
        <v>55</v>
      </c>
      <c r="C9" s="39"/>
      <c r="D9" s="39"/>
      <c r="E9" s="39"/>
      <c r="F9" s="39"/>
      <c r="G9" s="39"/>
      <c r="I9" s="18"/>
      <c r="J9" s="19"/>
      <c r="K9" s="18"/>
      <c r="L9" s="18"/>
      <c r="M9" s="18"/>
      <c r="N9" s="18"/>
      <c r="O9" s="18"/>
    </row>
    <row r="10" spans="2:15" x14ac:dyDescent="0.3">
      <c r="B10" s="9" t="s">
        <v>57</v>
      </c>
      <c r="C10" s="9" t="str">
        <f>IF(MAX(Таблица2[Вопрос 1])=C6,"да",IF(MAX(Таблица2[Вопрос 1])=C7,"нет","не знаю"))</f>
        <v>да</v>
      </c>
      <c r="D10" s="9" t="str">
        <f>IF(MAX(Таблица2[Вопрос 2])=D6,"да",IF(MAX(Таблица2[Вопрос 2])=D7,"нет","не знаю"))</f>
        <v>да</v>
      </c>
      <c r="E10" s="9" t="str">
        <f>IF(MAX(Таблица2[Вопрос 3])=E6,"да",IF(MAX(Таблица2[Вопрос 3])=E7,"нет","не знаю"))</f>
        <v>не знаю</v>
      </c>
      <c r="F10" s="9" t="str">
        <f>IF(MAX(Таблица2[Вопрос 4])=F6,"да",IF(MAX(Таблица2[Вопрос 4])=F7,"нет","не знаю"))</f>
        <v>да</v>
      </c>
      <c r="G10" s="9" t="str">
        <f>IF(MAX(Таблица2[Вопрос 5])=G6,"да",IF(MAX(Таблица2[Вопрос 5])=G7,"нет","не знаю"))</f>
        <v>нет</v>
      </c>
      <c r="L10" s="21"/>
      <c r="M10" s="21"/>
      <c r="N10" s="21"/>
      <c r="O10" s="21"/>
    </row>
    <row r="11" spans="2:15" x14ac:dyDescent="0.3">
      <c r="B11" s="9" t="s">
        <v>56</v>
      </c>
      <c r="C11" s="26" t="str">
        <f>IF(C10="да","принято",IF(C10 = "нет", "не принято", "не определено"))</f>
        <v>принято</v>
      </c>
      <c r="D11" s="26" t="str">
        <f t="shared" ref="D11:G11" si="0">IF(D10="да","принято",IF(D10 = "нет", "не принято", "не определено"))</f>
        <v>принято</v>
      </c>
      <c r="E11" s="26" t="str">
        <f t="shared" si="0"/>
        <v>не определено</v>
      </c>
      <c r="F11" s="26" t="str">
        <f t="shared" si="0"/>
        <v>принято</v>
      </c>
      <c r="G11" s="26" t="str">
        <f t="shared" si="0"/>
        <v>не принято</v>
      </c>
      <c r="L11" s="21"/>
      <c r="M11" s="21"/>
      <c r="N11" s="21"/>
      <c r="O11" s="21"/>
    </row>
    <row r="12" spans="2:15" x14ac:dyDescent="0.3">
      <c r="L12" s="21"/>
      <c r="M12" s="21"/>
      <c r="N12" s="21"/>
      <c r="O12" s="21"/>
    </row>
    <row r="13" spans="2:15" x14ac:dyDescent="0.3">
      <c r="L13" s="22"/>
      <c r="M13" s="22"/>
      <c r="N13" s="22"/>
      <c r="O13" s="22"/>
    </row>
    <row r="14" spans="2:15" x14ac:dyDescent="0.3">
      <c r="B14" s="37">
        <v>1</v>
      </c>
      <c r="C14" s="36" t="s">
        <v>50</v>
      </c>
      <c r="D14" s="36"/>
      <c r="E14" s="36"/>
      <c r="F14" s="36"/>
      <c r="G14" s="1">
        <f>COUNTIF(Таблица1[Группа],1)</f>
        <v>9</v>
      </c>
    </row>
    <row r="15" spans="2:15" ht="14.4" customHeight="1" x14ac:dyDescent="0.3">
      <c r="B15" s="37"/>
      <c r="C15" s="36" t="s">
        <v>51</v>
      </c>
      <c r="D15" s="36"/>
      <c r="E15" s="36"/>
      <c r="F15" s="36"/>
      <c r="G15" s="1">
        <f>COUNTIF(Таблица1[Группа],2)</f>
        <v>8</v>
      </c>
    </row>
    <row r="16" spans="2:15" x14ac:dyDescent="0.3">
      <c r="B16" s="37"/>
      <c r="C16" s="36" t="s">
        <v>52</v>
      </c>
      <c r="D16" s="36"/>
      <c r="E16" s="36"/>
      <c r="F16" s="36"/>
      <c r="G16" s="1">
        <f>COUNTIF(Таблица1[Группа],3)</f>
        <v>13</v>
      </c>
    </row>
    <row r="19" spans="2:25" ht="14.4" customHeight="1" x14ac:dyDescent="0.3">
      <c r="B19" s="41">
        <v>2</v>
      </c>
      <c r="C19" s="40" t="s">
        <v>41</v>
      </c>
      <c r="D19" s="40"/>
      <c r="E19" s="40"/>
      <c r="F19" s="40"/>
      <c r="G19" s="40"/>
      <c r="H19" s="40"/>
      <c r="I19" s="1" t="str">
        <f>INDEX(C21:C23,MATCH((MAX(D21:D23)),D21:D23,0))</f>
        <v>Группа 3</v>
      </c>
    </row>
    <row r="20" spans="2:25" ht="28.8" customHeight="1" x14ac:dyDescent="0.3">
      <c r="B20" s="42"/>
      <c r="C20" s="9" t="s">
        <v>2</v>
      </c>
      <c r="D20" s="4" t="s">
        <v>60</v>
      </c>
      <c r="E20" s="9" t="s">
        <v>45</v>
      </c>
      <c r="F20" s="9" t="s">
        <v>46</v>
      </c>
      <c r="G20" s="9" t="s">
        <v>47</v>
      </c>
      <c r="H20" s="9" t="s">
        <v>48</v>
      </c>
      <c r="I20" s="9" t="s">
        <v>49</v>
      </c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</row>
    <row r="21" spans="2:25" ht="14.4" customHeight="1" x14ac:dyDescent="0.3">
      <c r="B21" s="42"/>
      <c r="C21" s="9" t="s">
        <v>53</v>
      </c>
      <c r="D21" s="9">
        <f>SUM(E21:I21)</f>
        <v>28</v>
      </c>
      <c r="E21" s="9">
        <f>IF(C$11="принято",COUNTIFS(Таблица1[Вопрос 1: cледует ли изучать информатику на старших курсах?],"да",Таблица1[Группа],"1"),IF(C$11="не принято", COUNTIFS(Таблица1[Вопрос 1: cледует ли изучать информатику на старших курсах?],"нет",Таблица1[Группа],"1"), IF(C$11="не определено", COUNTIFS(Таблица1[Вопрос 1: cледует ли изучать информатику на старших курсах?],"Не знаю",Таблица1[Группа],"1"), 0)))</f>
        <v>6</v>
      </c>
      <c r="F21" s="9">
        <f>IF(D$11="принято",COUNTIFS(Таблица1[Вопрос 2: нужен ли буфет в учебном корпусе?],"да",Таблица1[Группа],"1"),IF(D$11="не принято", COUNTIFS(Таблица1[Вопрос 2: нужен ли буфет в учебном корпусе?],"нет",Таблица1[Группа],"1"), IF(D$11="не определено", COUNTIFS(Таблица1[Вопрос 2: нужен ли буфет в учебном корпусе?],"Не знаю",Таблица1[Группа],"1"), 0)))</f>
        <v>1</v>
      </c>
      <c r="G21" s="9">
        <f>IF(E$11="принято",COUNTIFS(Таблица1[Вопрос 3: вы хотели бы учиться во вторую смену?],"да",Таблица1[Группа],"1"),IF(E$11="не принято", COUNTIFS(Таблица1[Вопрос 3: вы хотели бы учиться во вторую смену?],"нет",Таблица1[Группа],"1"), IF(E$11="не определено", COUNTIFS(Таблица1[Вопрос 3: вы хотели бы учиться во вторую смену?],"Не знаю",Таблица1[Группа],"1"), 0)))</f>
        <v>8</v>
      </c>
      <c r="H21" s="9">
        <f>IF(F$11="принято",COUNTIFS(Таблица1[Вопрос 4: нужны ли игры в компьютерном классе?],"да",Таблица1[Группа],"1"),IF(F$11="не принято", COUNTIFS(Таблица1[Вопрос 4: нужны ли игры в компьютерном классе?],"нет",Таблица1[Группа],"1"), IF(F$11="не определено", COUNTIFS(Таблица1[Вопрос 4: нужны ли игры в компьютерном классе?],"Не знаю",Таблица1[Группа],"1"), 0)))</f>
        <v>6</v>
      </c>
      <c r="I21" s="9">
        <f>IF(G$11="принято",COUNTIFS(Таблица1[Вопрос 5: Следует ли использовать компьютеры при изучении других дисциплин?],"да",Таблица1[Группа],"1"),IF(G$11="не принято", COUNTIFS(Таблица1[Вопрос 5: Следует ли использовать компьютеры при изучении других дисциплин?],"нет",Таблица1[Группа],"1"), IF(G$11="не определено", COUNTIFS(Таблица1[Вопрос 5: Следует ли использовать компьютеры при изучении других дисциплин?],"Не знаю",Таблица1[Группа],"1"), 0)))</f>
        <v>7</v>
      </c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</row>
    <row r="22" spans="2:25" ht="14.4" customHeight="1" x14ac:dyDescent="0.3">
      <c r="B22" s="42"/>
      <c r="C22" s="9" t="s">
        <v>58</v>
      </c>
      <c r="D22" s="9">
        <f>(SUM(E22:I22))</f>
        <v>30</v>
      </c>
      <c r="E22" s="9">
        <f>IF(C$11="принято",COUNTIFS(Таблица1[Вопрос 1: cледует ли изучать информатику на старших курсах?],"да",Таблица1[Группа],"2"),IF(C$11="не принято", COUNTIFS(Таблица1[Вопрос 1: cледует ли изучать информатику на старших курсах?],"нет",Таблица1[Группа],"2"), IF(C$11="не определено", COUNTIFS(Таблица1[Вопрос 1: cледует ли изучать информатику на старших курсах?],"Не знаю",Таблица1[Группа],"2"), 0)))</f>
        <v>6</v>
      </c>
      <c r="F22" s="9">
        <f>IF(D$11="принято",COUNTIFS(Таблица1[Вопрос 2: нужен ли буфет в учебном корпусе?],"да",Таблица1[Группа],"2"),IF(D$11="не принято", COUNTIFS(Таблица1[Вопрос 2: нужен ли буфет в учебном корпусе?],"нет",Таблица1[Группа],"2"), IF(D$11="не определено", COUNTIFS(Таблица1[Вопрос 2: нужен ли буфет в учебном корпусе?],"Не знаю",Таблица1[Группа],"2"), 0)))</f>
        <v>8</v>
      </c>
      <c r="G22" s="9">
        <f>IF(E$11="принято",COUNTIFS(Таблица1[Вопрос 3: вы хотели бы учиться во вторую смену?],"да",Таблица1[Группа],"2"),IF(E$11="не принято", COUNTIFS(Таблица1[Вопрос 3: вы хотели бы учиться во вторую смену?],"нет",Таблица1[Группа],"2"), IF(E$11="не определено", COUNTIFS(Таблица1[Вопрос 3: вы хотели бы учиться во вторую смену?],"Не знаю",Таблица1[Группа],"2"), 0)))</f>
        <v>5</v>
      </c>
      <c r="H22" s="9">
        <f>IF(F$11="принято",COUNTIFS(Таблица1[Вопрос 4: нужны ли игры в компьютерном классе?],"да",Таблица1[Группа],"2"),IF(F$11="не принято", COUNTIFS(Таблица1[Вопрос 4: нужны ли игры в компьютерном классе?],"нет",Таблица1[Группа],"2"), IF(F$11="не определено", COUNTIFS(Таблица1[Вопрос 4: нужны ли игры в компьютерном классе?],"Не знаю",Таблица1[Группа],"2"), 0)))</f>
        <v>7</v>
      </c>
      <c r="I22" s="9">
        <f>IF(G$11="принято",COUNTIFS(Таблица1[Вопрос 5: Следует ли использовать компьютеры при изучении других дисциплин?],"да",Таблица1[Группа],"2"),IF(G$11="не принято", COUNTIFS(Таблица1[Вопрос 5: Следует ли использовать компьютеры при изучении других дисциплин?],"нет",Таблица1[Группа],"2"), IF(G$11="не определено", COUNTIFS(Таблица1[Вопрос 5: Следует ли использовать компьютеры при изучении других дисциплин?],"Не знаю",Таблица1[Группа],"2"), 0)))</f>
        <v>4</v>
      </c>
      <c r="N22" s="8"/>
      <c r="O22" s="8"/>
      <c r="P22" s="8"/>
      <c r="Q22" s="7"/>
      <c r="R22" s="7"/>
      <c r="S22" s="7"/>
      <c r="T22" s="7"/>
      <c r="U22" s="7"/>
      <c r="V22" s="7"/>
      <c r="W22" s="7"/>
      <c r="X22" s="8"/>
      <c r="Y22" s="8"/>
    </row>
    <row r="23" spans="2:25" x14ac:dyDescent="0.3">
      <c r="B23" s="43"/>
      <c r="C23" s="9" t="s">
        <v>59</v>
      </c>
      <c r="D23" s="9">
        <f>SUM(E23:I23)</f>
        <v>44</v>
      </c>
      <c r="E23" s="9">
        <f>IF(C$11="принято",COUNTIFS(Таблица1[Вопрос 1: cледует ли изучать информатику на старших курсах?],"да",Таблица1[Группа],"3"),IF(C$11="не принято", COUNTIFS(Таблица1[Вопрос 1: cледует ли изучать информатику на старших курсах?],"нет",Таблица1[Группа],"3"), IF(C$11="не определено", COUNTIFS(Таблица1[Вопрос 1: cледует ли изучать информатику на старших курсах?],"Не знаю",Таблица1[Группа],"3"), 0)))</f>
        <v>8</v>
      </c>
      <c r="F23" s="9">
        <f>IF(D$11="принято",COUNTIFS(Таблица1[Вопрос 2: нужен ли буфет в учебном корпусе?],"да",Таблица1[Группа],"3"),IF(D$11="не принято", COUNTIFS(Таблица1[Вопрос 2: нужен ли буфет в учебном корпусе?],"нет",Таблица1[Группа],"3"), IF(D$11="не определено", COUNTIFS(Таблица1[Вопрос 2: нужен ли буфет в учебном корпусе?],"Не знаю",Таблица1[Группа],"3"), 0)))</f>
        <v>10</v>
      </c>
      <c r="G23" s="9">
        <f>IF(E$11="принято",COUNTIFS(Таблица1[Вопрос 3: вы хотели бы учиться во вторую смену?],"да",Таблица1[Группа],"3"),IF(E$11="не принято", COUNTIFS(Таблица1[Вопрос 3: вы хотели бы учиться во вторую смену?],"нет",Таблица1[Группа],"3"), IF(E$11="не определено", COUNTIFS(Таблица1[Вопрос 3: вы хотели бы учиться во вторую смену?],"Не знаю",Таблица1[Группа],"3"), 0)))</f>
        <v>7</v>
      </c>
      <c r="H23" s="9">
        <f>IF(F$11="принято",COUNTIFS(Таблица1[Вопрос 4: нужны ли игры в компьютерном классе?],"да",Таблица1[Группа],"3"),IF(F$11="не принято", COUNTIFS(Таблица1[Вопрос 4: нужны ли игры в компьютерном классе?],"нет",Таблица1[Группа],"3"), IF(F$11="не определено", COUNTIFS(Таблица1[Группа],"Не знаю",Таблица1[Вопрос 3: вы хотели бы учиться во вторую смену?],"3"), 0)))</f>
        <v>9</v>
      </c>
      <c r="I23" s="9">
        <f>IF(G$11="принято",COUNTIFS(Таблица1[Вопрос 5: Следует ли использовать компьютеры при изучении других дисциплин?],"да",Таблица1[Группа],"3"),IF(G$11="не принято", COUNTIFS(Таблица1[Вопрос 5: Следует ли использовать компьютеры при изучении других дисциплин?],"нет",Таблица1[Группа],"3"), IF(G$11="не определено", COUNTIFS(Таблица1[Вопрос 5: Следует ли использовать компьютеры при изучении других дисциплин?],"Не знаю",Таблица1[Группа],"3"), 0)))</f>
        <v>10</v>
      </c>
      <c r="J23" s="20"/>
      <c r="K23" s="21"/>
      <c r="N23" s="8"/>
      <c r="O23" s="25"/>
      <c r="P23" s="8"/>
      <c r="Q23" s="7"/>
      <c r="R23" s="7"/>
      <c r="S23" s="7"/>
      <c r="T23" s="7"/>
      <c r="U23" s="7"/>
      <c r="V23" s="7"/>
      <c r="W23" s="7"/>
      <c r="X23" s="8"/>
      <c r="Y23" s="8"/>
    </row>
    <row r="24" spans="2:25" x14ac:dyDescent="0.3">
      <c r="J24" s="20"/>
      <c r="K24" s="21"/>
      <c r="N24" s="8"/>
      <c r="O24" s="25"/>
      <c r="P24" s="8"/>
      <c r="Q24" s="7"/>
      <c r="R24" s="7"/>
      <c r="S24" s="7"/>
      <c r="T24" s="7"/>
      <c r="U24" s="7"/>
      <c r="V24" s="7"/>
      <c r="W24" s="7"/>
      <c r="X24" s="8"/>
      <c r="Y24" s="8"/>
    </row>
    <row r="25" spans="2:25" ht="14.4" customHeight="1" x14ac:dyDescent="0.3">
      <c r="I25" s="15"/>
      <c r="J25" s="20"/>
      <c r="K25" s="21"/>
      <c r="N25" s="8"/>
      <c r="O25" s="8"/>
      <c r="P25" s="8"/>
      <c r="Q25" s="8"/>
      <c r="R25" s="8"/>
      <c r="S25" s="8"/>
      <c r="T25" s="8"/>
      <c r="U25" s="8"/>
      <c r="V25" s="8"/>
      <c r="W25" s="8"/>
      <c r="X25" s="24"/>
      <c r="Y25" s="8"/>
    </row>
    <row r="26" spans="2:25" ht="43.2" customHeight="1" x14ac:dyDescent="0.3">
      <c r="B26" s="41" t="s">
        <v>72</v>
      </c>
      <c r="C26" s="33" t="str">
        <f>Таблица1[[#Headers],[Студент]]</f>
        <v>Студент</v>
      </c>
      <c r="D26" s="33" t="str">
        <f>Таблица1[[#Headers],[Группа]]</f>
        <v>Группа</v>
      </c>
      <c r="E26" s="44" t="str">
        <f>Таблица1[[#Headers],[Вопрос 1: cледует ли изучать информатику на старших курсах?]]</f>
        <v>Вопрос 1: cледует ли изучать информатику на старших курсах?</v>
      </c>
      <c r="F26" s="44" t="str">
        <f>Таблица1[[#Headers],[Вопрос 2: нужен ли буфет в учебном корпусе?]]</f>
        <v>Вопрос 2: нужен ли буфет в учебном корпусе?</v>
      </c>
      <c r="G26" s="44" t="str">
        <f>Таблица1[[#Headers],[Вопрос 3: вы хотели бы учиться во вторую смену?]]</f>
        <v>Вопрос 3: вы хотели бы учиться во вторую смену?</v>
      </c>
      <c r="H26" s="44" t="str">
        <f>Таблица1[[#Headers],[Вопрос 4: нужны ли игры в компьютерном классе?]]</f>
        <v>Вопрос 4: нужны ли игры в компьютерном классе?</v>
      </c>
      <c r="I26" s="44" t="str">
        <f>Таблица1[[#Headers],[Вопрос 5: Следует ли использовать компьютеры при изучении других дисциплин?]]</f>
        <v>Вопрос 5: Следует ли использовать компьютеры при изучении других дисциплин?</v>
      </c>
      <c r="J26" s="27" t="s">
        <v>61</v>
      </c>
      <c r="K26" s="33" t="s">
        <v>64</v>
      </c>
      <c r="L26" s="33" t="s">
        <v>63</v>
      </c>
      <c r="M26" s="33" t="s">
        <v>62</v>
      </c>
      <c r="O26" s="30"/>
      <c r="Q26" s="7"/>
      <c r="R26" s="23"/>
      <c r="S26" s="23"/>
      <c r="T26" s="23"/>
      <c r="U26" s="23"/>
      <c r="V26" s="23"/>
      <c r="W26" s="23"/>
      <c r="X26" s="25"/>
      <c r="Y26" s="8"/>
    </row>
    <row r="27" spans="2:25" ht="14.4" customHeight="1" x14ac:dyDescent="0.3">
      <c r="B27" s="42"/>
      <c r="C27" s="31" t="str">
        <f>Опрос!B5</f>
        <v>Андреев М. Л.</v>
      </c>
      <c r="D27" s="32">
        <f>Опрос!C5</f>
        <v>2</v>
      </c>
      <c r="E27" s="32" t="str">
        <f>Опрос!D5</f>
        <v>да</v>
      </c>
      <c r="F27" s="32" t="str">
        <f>Опрос!E5</f>
        <v>да</v>
      </c>
      <c r="G27" s="32" t="str">
        <f>Опрос!F5</f>
        <v>да</v>
      </c>
      <c r="H27" s="32" t="str">
        <f>Опрос!G5</f>
        <v>да</v>
      </c>
      <c r="I27" s="32" t="str">
        <f>Опрос!H5</f>
        <v>да</v>
      </c>
      <c r="J27" s="5" t="b">
        <f>AND(E27=$C$10,F27=$D$10,G27=$E$10,H27=$F$10,I27=$G$10)</f>
        <v>0</v>
      </c>
      <c r="K27" s="5" t="b">
        <f>AND(NOT(E27=$C$10),NOT(F27=$D$10),NOT(G27=$E$10),NOT(H27=$F$10),NOT(I27=$G$10))</f>
        <v>0</v>
      </c>
      <c r="L27" s="5" t="b">
        <f>AND(E27=$C$10,NOT(I27=$G$10))</f>
        <v>1</v>
      </c>
      <c r="M27" s="5">
        <f>COUNTIF(E27,$C$10)+COUNTIF(F27,$D$10)+COUNTIF(G27,$E$10)+COUNTIF(H27,$F$10)+COUNTIF(I27,$G$10)</f>
        <v>3</v>
      </c>
      <c r="O27" s="30"/>
      <c r="P27" s="7"/>
      <c r="Q27" s="7"/>
      <c r="R27" s="23"/>
      <c r="S27" s="23"/>
      <c r="T27" s="23"/>
      <c r="U27" s="23"/>
      <c r="V27" s="23"/>
      <c r="W27" s="23"/>
      <c r="X27" s="25"/>
      <c r="Y27" s="8"/>
    </row>
    <row r="28" spans="2:25" x14ac:dyDescent="0.3">
      <c r="B28" s="42"/>
      <c r="C28" s="28" t="str">
        <f>Опрос!B6</f>
        <v>Комарова В. А.</v>
      </c>
      <c r="D28" s="14">
        <f>Опрос!C6</f>
        <v>2</v>
      </c>
      <c r="E28" s="14" t="str">
        <f>Опрос!D6</f>
        <v>нет</v>
      </c>
      <c r="F28" s="14" t="str">
        <f>Опрос!E6</f>
        <v>да</v>
      </c>
      <c r="G28" s="14" t="str">
        <f>Опрос!F6</f>
        <v>да</v>
      </c>
      <c r="H28" s="14" t="str">
        <f>Опрос!G6</f>
        <v>да</v>
      </c>
      <c r="I28" s="14" t="str">
        <f>Опрос!H6</f>
        <v>не знаю</v>
      </c>
      <c r="J28" s="5" t="b">
        <f t="shared" ref="J28:J56" si="1">AND(E28=$C$10,F28=$D$10,G28=$E$10,H28=$F$10,I28=$G$10)</f>
        <v>0</v>
      </c>
      <c r="K28" s="5" t="b">
        <f t="shared" ref="K28:K56" si="2">AND(NOT(E28=$C$10),NOT(F28=$D$10),NOT(G28=$E$10),NOT(H28=$F$10),NOT(I28=$G$10))</f>
        <v>0</v>
      </c>
      <c r="L28" s="5" t="b">
        <f t="shared" ref="L28:L56" si="3">AND(E28=$C$10,NOT(I28=$G$10))</f>
        <v>0</v>
      </c>
      <c r="M28" s="5">
        <f t="shared" ref="M28:M56" si="4">COUNTIF(E28,$C$10)+COUNTIF(F28,$D$10)+COUNTIF(G28,$E$10)+COUNTIF(H28,$F$10)+COUNTIF(I28,$G$10)</f>
        <v>2</v>
      </c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</row>
    <row r="29" spans="2:25" x14ac:dyDescent="0.3">
      <c r="B29" s="42"/>
      <c r="C29" s="28" t="str">
        <f>Опрос!B7</f>
        <v>Зайцева В. Д.</v>
      </c>
      <c r="D29" s="14">
        <f>Опрос!C7</f>
        <v>2</v>
      </c>
      <c r="E29" s="14" t="str">
        <f>Опрос!D7</f>
        <v>да</v>
      </c>
      <c r="F29" s="14" t="str">
        <f>Опрос!E7</f>
        <v>да</v>
      </c>
      <c r="G29" s="14" t="str">
        <f>Опрос!F7</f>
        <v>да</v>
      </c>
      <c r="H29" s="14" t="str">
        <f>Опрос!G7</f>
        <v>да</v>
      </c>
      <c r="I29" s="14" t="str">
        <f>Опрос!H7</f>
        <v>да</v>
      </c>
      <c r="J29" s="5" t="b">
        <f t="shared" si="1"/>
        <v>0</v>
      </c>
      <c r="K29" s="5" t="b">
        <f t="shared" si="2"/>
        <v>0</v>
      </c>
      <c r="L29" s="5" t="b">
        <f t="shared" si="3"/>
        <v>1</v>
      </c>
      <c r="M29" s="5">
        <f t="shared" si="4"/>
        <v>3</v>
      </c>
      <c r="O29" s="24"/>
      <c r="P29" s="25"/>
      <c r="Q29" s="25"/>
      <c r="R29" s="25"/>
      <c r="S29" s="25"/>
      <c r="T29" s="25"/>
      <c r="U29" s="25"/>
      <c r="V29" s="25"/>
      <c r="W29" s="25"/>
      <c r="X29" s="8"/>
      <c r="Y29" s="8"/>
    </row>
    <row r="30" spans="2:25" x14ac:dyDescent="0.3">
      <c r="B30" s="42"/>
      <c r="C30" s="28" t="str">
        <f>Опрос!B8</f>
        <v>Егоров А. И.</v>
      </c>
      <c r="D30" s="14">
        <f>Опрос!C8</f>
        <v>2</v>
      </c>
      <c r="E30" s="14" t="str">
        <f>Опрос!D8</f>
        <v>не знаю</v>
      </c>
      <c r="F30" s="14" t="str">
        <f>Опрос!E8</f>
        <v>да</v>
      </c>
      <c r="G30" s="14" t="str">
        <f>Опрос!F8</f>
        <v>не знаю</v>
      </c>
      <c r="H30" s="14" t="str">
        <f>Опрос!G8</f>
        <v>да</v>
      </c>
      <c r="I30" s="14" t="str">
        <f>Опрос!H8</f>
        <v>да</v>
      </c>
      <c r="J30" s="5" t="b">
        <f>AND(E30=$C$10,F30=$D$10,G30=$E$10,H30=$F$10,I30=$G$10)</f>
        <v>0</v>
      </c>
      <c r="K30" s="5" t="b">
        <f t="shared" si="2"/>
        <v>0</v>
      </c>
      <c r="L30" s="5" t="b">
        <f t="shared" si="3"/>
        <v>0</v>
      </c>
      <c r="M30" s="5">
        <f t="shared" si="4"/>
        <v>3</v>
      </c>
      <c r="O30" s="25"/>
      <c r="P30" s="25"/>
      <c r="Q30" s="8"/>
      <c r="R30" s="25"/>
      <c r="S30" s="25"/>
      <c r="T30" s="25"/>
      <c r="U30" s="25"/>
      <c r="V30" s="25"/>
      <c r="W30" s="25"/>
      <c r="X30" s="7"/>
      <c r="Y30" s="8"/>
    </row>
    <row r="31" spans="2:25" x14ac:dyDescent="0.3">
      <c r="B31" s="42"/>
      <c r="C31" s="28" t="str">
        <f>Опрос!B9</f>
        <v>Ковалева А. К.</v>
      </c>
      <c r="D31" s="14">
        <f>Опрос!C9</f>
        <v>2</v>
      </c>
      <c r="E31" s="14" t="str">
        <f>Опрос!D9</f>
        <v>да</v>
      </c>
      <c r="F31" s="14" t="str">
        <f>Опрос!E9</f>
        <v>да</v>
      </c>
      <c r="G31" s="14" t="str">
        <f>Опрос!F9</f>
        <v>не знаю</v>
      </c>
      <c r="H31" s="14" t="str">
        <f>Опрос!G9</f>
        <v>да</v>
      </c>
      <c r="I31" s="14" t="str">
        <f>Опрос!H9</f>
        <v>нет</v>
      </c>
      <c r="J31" s="5" t="b">
        <f t="shared" si="1"/>
        <v>1</v>
      </c>
      <c r="K31" s="5" t="b">
        <f t="shared" si="2"/>
        <v>0</v>
      </c>
      <c r="L31" s="5" t="b">
        <f t="shared" si="3"/>
        <v>0</v>
      </c>
      <c r="M31" s="5">
        <f t="shared" si="4"/>
        <v>5</v>
      </c>
      <c r="O31" s="8"/>
      <c r="P31" s="29"/>
      <c r="Q31" s="8"/>
      <c r="R31" s="8"/>
      <c r="S31" s="8"/>
      <c r="T31" s="8"/>
      <c r="U31" s="8"/>
      <c r="V31" s="8"/>
      <c r="W31" s="8"/>
      <c r="X31" s="8"/>
      <c r="Y31" s="8"/>
    </row>
    <row r="32" spans="2:25" x14ac:dyDescent="0.3">
      <c r="B32" s="42"/>
      <c r="C32" s="28" t="str">
        <f>Опрос!B10</f>
        <v>Гордеева Е. С.</v>
      </c>
      <c r="D32" s="14">
        <f>Опрос!C10</f>
        <v>2</v>
      </c>
      <c r="E32" s="14" t="str">
        <f>Опрос!D10</f>
        <v>да</v>
      </c>
      <c r="F32" s="14" t="str">
        <f>Опрос!E10</f>
        <v>да</v>
      </c>
      <c r="G32" s="14" t="str">
        <f>Опрос!F10</f>
        <v>не знаю</v>
      </c>
      <c r="H32" s="14" t="str">
        <f>Опрос!G10</f>
        <v>не знаю</v>
      </c>
      <c r="I32" s="14" t="str">
        <f>Опрос!H10</f>
        <v>нет</v>
      </c>
      <c r="J32" s="5" t="b">
        <f t="shared" si="1"/>
        <v>0</v>
      </c>
      <c r="K32" s="5" t="b">
        <f t="shared" si="2"/>
        <v>0</v>
      </c>
      <c r="L32" s="5" t="b">
        <f t="shared" si="3"/>
        <v>0</v>
      </c>
      <c r="M32" s="5">
        <f t="shared" si="4"/>
        <v>4</v>
      </c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</row>
    <row r="33" spans="2:13" x14ac:dyDescent="0.3">
      <c r="B33" s="42"/>
      <c r="C33" s="28" t="str">
        <f>Опрос!B11</f>
        <v>Попова А. Р.</v>
      </c>
      <c r="D33" s="14">
        <f>Опрос!C11</f>
        <v>2</v>
      </c>
      <c r="E33" s="14" t="str">
        <f>Опрос!D11</f>
        <v>да</v>
      </c>
      <c r="F33" s="14" t="str">
        <f>Опрос!E11</f>
        <v>да</v>
      </c>
      <c r="G33" s="14" t="str">
        <f>Опрос!F11</f>
        <v>не знаю</v>
      </c>
      <c r="H33" s="14" t="str">
        <f>Опрос!G11</f>
        <v>да</v>
      </c>
      <c r="I33" s="14" t="str">
        <f>Опрос!H11</f>
        <v>нет</v>
      </c>
      <c r="J33" s="5" t="b">
        <f t="shared" si="1"/>
        <v>1</v>
      </c>
      <c r="K33" s="5" t="b">
        <f t="shared" si="2"/>
        <v>0</v>
      </c>
      <c r="L33" s="5" t="b">
        <f t="shared" si="3"/>
        <v>0</v>
      </c>
      <c r="M33" s="5">
        <f t="shared" si="4"/>
        <v>5</v>
      </c>
    </row>
    <row r="34" spans="2:13" x14ac:dyDescent="0.3">
      <c r="B34" s="42"/>
      <c r="C34" s="28" t="str">
        <f>Опрос!B12</f>
        <v>Павлова Т. Г.</v>
      </c>
      <c r="D34" s="14">
        <f>Опрос!C12</f>
        <v>2</v>
      </c>
      <c r="E34" s="14" t="str">
        <f>Опрос!D12</f>
        <v>да</v>
      </c>
      <c r="F34" s="14" t="str">
        <f>Опрос!E12</f>
        <v>да</v>
      </c>
      <c r="G34" s="14" t="str">
        <f>Опрос!F12</f>
        <v>не знаю</v>
      </c>
      <c r="H34" s="14" t="str">
        <f>Опрос!G12</f>
        <v>да</v>
      </c>
      <c r="I34" s="14" t="str">
        <f>Опрос!H12</f>
        <v>нет</v>
      </c>
      <c r="J34" s="5" t="b">
        <f t="shared" si="1"/>
        <v>1</v>
      </c>
      <c r="K34" s="5" t="b">
        <f t="shared" si="2"/>
        <v>0</v>
      </c>
      <c r="L34" s="5" t="b">
        <f t="shared" si="3"/>
        <v>0</v>
      </c>
      <c r="M34" s="5">
        <f t="shared" si="4"/>
        <v>5</v>
      </c>
    </row>
    <row r="35" spans="2:13" x14ac:dyDescent="0.3">
      <c r="B35" s="42"/>
      <c r="C35" s="28" t="str">
        <f>Опрос!B13</f>
        <v>Яковлева В. Т.</v>
      </c>
      <c r="D35" s="14">
        <f>Опрос!C13</f>
        <v>1</v>
      </c>
      <c r="E35" s="14" t="str">
        <f>Опрос!D13</f>
        <v>да</v>
      </c>
      <c r="F35" s="14" t="str">
        <f>Опрос!E13</f>
        <v>да</v>
      </c>
      <c r="G35" s="14" t="str">
        <f>Опрос!F13</f>
        <v>не знаю</v>
      </c>
      <c r="H35" s="14" t="str">
        <f>Опрос!G13</f>
        <v>да</v>
      </c>
      <c r="I35" s="14" t="str">
        <f>Опрос!H13</f>
        <v>нет</v>
      </c>
      <c r="J35" s="5" t="b">
        <f t="shared" si="1"/>
        <v>1</v>
      </c>
      <c r="K35" s="5" t="b">
        <f t="shared" si="2"/>
        <v>0</v>
      </c>
      <c r="L35" s="5" t="b">
        <f t="shared" si="3"/>
        <v>0</v>
      </c>
      <c r="M35" s="5">
        <f t="shared" si="4"/>
        <v>5</v>
      </c>
    </row>
    <row r="36" spans="2:13" x14ac:dyDescent="0.3">
      <c r="B36" s="42"/>
      <c r="C36" s="28" t="str">
        <f>Опрос!B14</f>
        <v>Николаева М. М.</v>
      </c>
      <c r="D36" s="14">
        <f>Опрос!C14</f>
        <v>1</v>
      </c>
      <c r="E36" s="14" t="str">
        <f>Опрос!D14</f>
        <v>нет</v>
      </c>
      <c r="F36" s="14" t="str">
        <f>Опрос!E14</f>
        <v>не знаю</v>
      </c>
      <c r="G36" s="14" t="str">
        <f>Опрос!F14</f>
        <v>не знаю</v>
      </c>
      <c r="H36" s="14" t="str">
        <f>Опрос!G14</f>
        <v>нет</v>
      </c>
      <c r="I36" s="14" t="str">
        <f>Опрос!H14</f>
        <v>нет</v>
      </c>
      <c r="J36" s="5" t="b">
        <f t="shared" si="1"/>
        <v>0</v>
      </c>
      <c r="K36" s="5" t="b">
        <f t="shared" si="2"/>
        <v>0</v>
      </c>
      <c r="L36" s="5" t="b">
        <f t="shared" si="3"/>
        <v>0</v>
      </c>
      <c r="M36" s="5">
        <f t="shared" si="4"/>
        <v>2</v>
      </c>
    </row>
    <row r="37" spans="2:13" x14ac:dyDescent="0.3">
      <c r="B37" s="42"/>
      <c r="C37" s="28" t="str">
        <f>Опрос!B15</f>
        <v>Калинина В. Ф.</v>
      </c>
      <c r="D37" s="14">
        <f>Опрос!C15</f>
        <v>1</v>
      </c>
      <c r="E37" s="14" t="str">
        <f>Опрос!D15</f>
        <v>нет</v>
      </c>
      <c r="F37" s="14" t="str">
        <f>Опрос!E15</f>
        <v>не знаю</v>
      </c>
      <c r="G37" s="14" t="str">
        <f>Опрос!F15</f>
        <v>не знаю</v>
      </c>
      <c r="H37" s="14" t="str">
        <f>Опрос!G15</f>
        <v>нет</v>
      </c>
      <c r="I37" s="14" t="str">
        <f>Опрос!H15</f>
        <v>да</v>
      </c>
      <c r="J37" s="5" t="b">
        <f t="shared" si="1"/>
        <v>0</v>
      </c>
      <c r="K37" s="5" t="b">
        <f t="shared" si="2"/>
        <v>0</v>
      </c>
      <c r="L37" s="5" t="b">
        <f t="shared" si="3"/>
        <v>0</v>
      </c>
      <c r="M37" s="5">
        <f t="shared" si="4"/>
        <v>1</v>
      </c>
    </row>
    <row r="38" spans="2:13" x14ac:dyDescent="0.3">
      <c r="B38" s="42"/>
      <c r="C38" s="28" t="str">
        <f>Опрос!B16</f>
        <v>Потапов А. М.</v>
      </c>
      <c r="D38" s="14">
        <f>Опрос!C16</f>
        <v>1</v>
      </c>
      <c r="E38" s="14" t="str">
        <f>Опрос!D16</f>
        <v>да</v>
      </c>
      <c r="F38" s="14" t="str">
        <f>Опрос!E16</f>
        <v>не знаю</v>
      </c>
      <c r="G38" s="14" t="str">
        <f>Опрос!F16</f>
        <v>не знаю</v>
      </c>
      <c r="H38" s="14" t="str">
        <f>Опрос!G16</f>
        <v>да</v>
      </c>
      <c r="I38" s="14" t="str">
        <f>Опрос!H16</f>
        <v>нет</v>
      </c>
      <c r="J38" s="5" t="b">
        <f t="shared" si="1"/>
        <v>0</v>
      </c>
      <c r="K38" s="5" t="b">
        <f t="shared" si="2"/>
        <v>0</v>
      </c>
      <c r="L38" s="5" t="b">
        <f t="shared" si="3"/>
        <v>0</v>
      </c>
      <c r="M38" s="5">
        <f t="shared" si="4"/>
        <v>4</v>
      </c>
    </row>
    <row r="39" spans="2:13" x14ac:dyDescent="0.3">
      <c r="B39" s="42"/>
      <c r="C39" s="28" t="str">
        <f>Опрос!B17</f>
        <v>Логинов А. Т.</v>
      </c>
      <c r="D39" s="14">
        <f>Опрос!C17</f>
        <v>1</v>
      </c>
      <c r="E39" s="14" t="str">
        <f>Опрос!D17</f>
        <v>да</v>
      </c>
      <c r="F39" s="14" t="str">
        <f>Опрос!E17</f>
        <v>не знаю</v>
      </c>
      <c r="G39" s="14" t="str">
        <f>Опрос!F17</f>
        <v>не знаю</v>
      </c>
      <c r="H39" s="14" t="str">
        <f>Опрос!G17</f>
        <v>да</v>
      </c>
      <c r="I39" s="14" t="str">
        <f>Опрос!H17</f>
        <v>нет</v>
      </c>
      <c r="J39" s="5" t="b">
        <f t="shared" si="1"/>
        <v>0</v>
      </c>
      <c r="K39" s="5" t="b">
        <f t="shared" si="2"/>
        <v>0</v>
      </c>
      <c r="L39" s="5" t="b">
        <f t="shared" si="3"/>
        <v>0</v>
      </c>
      <c r="M39" s="5">
        <f t="shared" si="4"/>
        <v>4</v>
      </c>
    </row>
    <row r="40" spans="2:13" x14ac:dyDescent="0.3">
      <c r="B40" s="42"/>
      <c r="C40" s="28" t="str">
        <f>Опрос!B18</f>
        <v>Крюкова Е. С.</v>
      </c>
      <c r="D40" s="14">
        <f>Опрос!C18</f>
        <v>1</v>
      </c>
      <c r="E40" s="14" t="str">
        <f>Опрос!D18</f>
        <v>да</v>
      </c>
      <c r="F40" s="14" t="str">
        <f>Опрос!E18</f>
        <v>не знаю</v>
      </c>
      <c r="G40" s="14" t="str">
        <f>Опрос!F18</f>
        <v>не знаю</v>
      </c>
      <c r="H40" s="14" t="str">
        <f>Опрос!G18</f>
        <v>да</v>
      </c>
      <c r="I40" s="14" t="str">
        <f>Опрос!H18</f>
        <v>нет</v>
      </c>
      <c r="J40" s="5" t="b">
        <f t="shared" si="1"/>
        <v>0</v>
      </c>
      <c r="K40" s="5" t="b">
        <f t="shared" si="2"/>
        <v>0</v>
      </c>
      <c r="L40" s="5" t="b">
        <f t="shared" si="3"/>
        <v>0</v>
      </c>
      <c r="M40" s="5">
        <f t="shared" si="4"/>
        <v>4</v>
      </c>
    </row>
    <row r="41" spans="2:13" x14ac:dyDescent="0.3">
      <c r="B41" s="42"/>
      <c r="C41" s="28" t="str">
        <f>Опрос!B19</f>
        <v>Михайлова С. М.</v>
      </c>
      <c r="D41" s="14">
        <f>Опрос!C19</f>
        <v>1</v>
      </c>
      <c r="E41" s="14" t="str">
        <f>Опрос!D19</f>
        <v>да</v>
      </c>
      <c r="F41" s="14" t="str">
        <f>Опрос!E19</f>
        <v>не знаю</v>
      </c>
      <c r="G41" s="14" t="str">
        <f>Опрос!F19</f>
        <v>не знаю</v>
      </c>
      <c r="H41" s="14" t="str">
        <f>Опрос!G19</f>
        <v>да</v>
      </c>
      <c r="I41" s="14" t="str">
        <f>Опрос!H19</f>
        <v>нет</v>
      </c>
      <c r="J41" s="5" t="b">
        <f t="shared" si="1"/>
        <v>0</v>
      </c>
      <c r="K41" s="5" t="b">
        <f t="shared" si="2"/>
        <v>0</v>
      </c>
      <c r="L41" s="5" t="b">
        <f t="shared" si="3"/>
        <v>0</v>
      </c>
      <c r="M41" s="5">
        <f t="shared" si="4"/>
        <v>4</v>
      </c>
    </row>
    <row r="42" spans="2:13" x14ac:dyDescent="0.3">
      <c r="B42" s="42"/>
      <c r="C42" s="28" t="str">
        <f>Опрос!B20</f>
        <v>Морозов Д. Р.</v>
      </c>
      <c r="D42" s="14">
        <f>Опрос!C20</f>
        <v>1</v>
      </c>
      <c r="E42" s="14" t="str">
        <f>Опрос!D20</f>
        <v>да</v>
      </c>
      <c r="F42" s="14" t="str">
        <f>Опрос!E20</f>
        <v>не знаю</v>
      </c>
      <c r="G42" s="14" t="str">
        <f>Опрос!F20</f>
        <v>не знаю</v>
      </c>
      <c r="H42" s="14" t="str">
        <f>Опрос!G20</f>
        <v>да</v>
      </c>
      <c r="I42" s="14" t="str">
        <f>Опрос!H20</f>
        <v>нет</v>
      </c>
      <c r="J42" s="5" t="b">
        <f t="shared" si="1"/>
        <v>0</v>
      </c>
      <c r="K42" s="5" t="b">
        <f t="shared" si="2"/>
        <v>0</v>
      </c>
      <c r="L42" s="5" t="b">
        <f t="shared" si="3"/>
        <v>0</v>
      </c>
      <c r="M42" s="5">
        <f t="shared" si="4"/>
        <v>4</v>
      </c>
    </row>
    <row r="43" spans="2:13" x14ac:dyDescent="0.3">
      <c r="B43" s="42"/>
      <c r="C43" s="28" t="str">
        <f>Опрос!B21</f>
        <v>Шувалов А. Е.</v>
      </c>
      <c r="D43" s="14">
        <f>Опрос!C21</f>
        <v>1</v>
      </c>
      <c r="E43" s="14" t="str">
        <f>Опрос!D21</f>
        <v>нет</v>
      </c>
      <c r="F43" s="14" t="str">
        <f>Опрос!E21</f>
        <v>нет</v>
      </c>
      <c r="G43" s="14" t="str">
        <f>Опрос!F21</f>
        <v>да</v>
      </c>
      <c r="H43" s="14" t="str">
        <f>Опрос!G21</f>
        <v>нет</v>
      </c>
      <c r="I43" s="14" t="str">
        <f>Опрос!H21</f>
        <v>да</v>
      </c>
      <c r="J43" s="5" t="b">
        <f t="shared" si="1"/>
        <v>0</v>
      </c>
      <c r="K43" s="5" t="b">
        <f>AND(NOT(E43=$C$10),NOT(F43=$D$10),NOT(G43=$E$10),NOT(H43=$F$10),NOT(I43=$G$10))</f>
        <v>1</v>
      </c>
      <c r="L43" s="5" t="b">
        <f t="shared" si="3"/>
        <v>0</v>
      </c>
      <c r="M43" s="5">
        <f t="shared" si="4"/>
        <v>0</v>
      </c>
    </row>
    <row r="44" spans="2:13" x14ac:dyDescent="0.3">
      <c r="B44" s="42"/>
      <c r="C44" s="28" t="str">
        <f>Опрос!B22</f>
        <v>Рогов И. М.</v>
      </c>
      <c r="D44" s="14">
        <f>Опрос!C22</f>
        <v>3</v>
      </c>
      <c r="E44" s="14" t="str">
        <f>Опрос!D22</f>
        <v>нет</v>
      </c>
      <c r="F44" s="14" t="str">
        <f>Опрос!E22</f>
        <v>нет</v>
      </c>
      <c r="G44" s="14" t="str">
        <f>Опрос!F22</f>
        <v>да</v>
      </c>
      <c r="H44" s="14" t="str">
        <f>Опрос!G22</f>
        <v>нет</v>
      </c>
      <c r="I44" s="14" t="str">
        <f>Опрос!H22</f>
        <v>да</v>
      </c>
      <c r="J44" s="5" t="b">
        <f t="shared" si="1"/>
        <v>0</v>
      </c>
      <c r="K44" s="5" t="b">
        <f t="shared" si="2"/>
        <v>1</v>
      </c>
      <c r="L44" s="5" t="b">
        <f t="shared" si="3"/>
        <v>0</v>
      </c>
      <c r="M44" s="5">
        <f t="shared" si="4"/>
        <v>0</v>
      </c>
    </row>
    <row r="45" spans="2:13" x14ac:dyDescent="0.3">
      <c r="B45" s="42"/>
      <c r="C45" s="28" t="str">
        <f>Опрос!B23</f>
        <v>Евсеев И. П.</v>
      </c>
      <c r="D45" s="14">
        <f>Опрос!C23</f>
        <v>3</v>
      </c>
      <c r="E45" s="14" t="str">
        <f>Опрос!D23</f>
        <v>да</v>
      </c>
      <c r="F45" s="14" t="str">
        <f>Опрос!E23</f>
        <v>да</v>
      </c>
      <c r="G45" s="14" t="str">
        <f>Опрос!F23</f>
        <v>не знаю</v>
      </c>
      <c r="H45" s="14" t="str">
        <f>Опрос!G23</f>
        <v>да</v>
      </c>
      <c r="I45" s="14" t="str">
        <f>Опрос!H23</f>
        <v>нет</v>
      </c>
      <c r="J45" s="5" t="b">
        <f t="shared" si="1"/>
        <v>1</v>
      </c>
      <c r="K45" s="5" t="b">
        <f t="shared" si="2"/>
        <v>0</v>
      </c>
      <c r="L45" s="5" t="b">
        <f t="shared" si="3"/>
        <v>0</v>
      </c>
      <c r="M45" s="5">
        <f t="shared" si="4"/>
        <v>5</v>
      </c>
    </row>
    <row r="46" spans="2:13" x14ac:dyDescent="0.3">
      <c r="B46" s="42"/>
      <c r="C46" s="28" t="str">
        <f>Опрос!B24</f>
        <v>Максимова В. С.</v>
      </c>
      <c r="D46" s="14">
        <f>Опрос!C24</f>
        <v>3</v>
      </c>
      <c r="E46" s="14" t="str">
        <f>Опрос!D24</f>
        <v>да</v>
      </c>
      <c r="F46" s="14" t="str">
        <f>Опрос!E24</f>
        <v>да</v>
      </c>
      <c r="G46" s="14" t="str">
        <f>Опрос!F24</f>
        <v>не знаю</v>
      </c>
      <c r="H46" s="14" t="str">
        <f>Опрос!G24</f>
        <v>да</v>
      </c>
      <c r="I46" s="14" t="str">
        <f>Опрос!H24</f>
        <v>нет</v>
      </c>
      <c r="J46" s="5" t="b">
        <f t="shared" si="1"/>
        <v>1</v>
      </c>
      <c r="K46" s="5" t="b">
        <f t="shared" si="2"/>
        <v>0</v>
      </c>
      <c r="L46" s="5" t="b">
        <f t="shared" si="3"/>
        <v>0</v>
      </c>
      <c r="M46" s="5">
        <f t="shared" si="4"/>
        <v>5</v>
      </c>
    </row>
    <row r="47" spans="2:13" x14ac:dyDescent="0.3">
      <c r="B47" s="42"/>
      <c r="C47" s="28" t="str">
        <f>Опрос!B25</f>
        <v>Никитин А. Е.</v>
      </c>
      <c r="D47" s="14">
        <f>Опрос!C25</f>
        <v>3</v>
      </c>
      <c r="E47" s="14" t="str">
        <f>Опрос!D25</f>
        <v>да</v>
      </c>
      <c r="F47" s="14" t="str">
        <f>Опрос!E25</f>
        <v>да</v>
      </c>
      <c r="G47" s="14" t="str">
        <f>Опрос!F25</f>
        <v>не знаю</v>
      </c>
      <c r="H47" s="14" t="str">
        <f>Опрос!G25</f>
        <v>не знаю</v>
      </c>
      <c r="I47" s="14" t="str">
        <f>Опрос!H25</f>
        <v>нет</v>
      </c>
      <c r="J47" s="5" t="b">
        <f t="shared" si="1"/>
        <v>0</v>
      </c>
      <c r="K47" s="5" t="b">
        <f t="shared" si="2"/>
        <v>0</v>
      </c>
      <c r="L47" s="5" t="b">
        <f t="shared" si="3"/>
        <v>0</v>
      </c>
      <c r="M47" s="5">
        <f t="shared" si="4"/>
        <v>4</v>
      </c>
    </row>
    <row r="48" spans="2:13" x14ac:dyDescent="0.3">
      <c r="B48" s="42"/>
      <c r="C48" s="28" t="str">
        <f>Опрос!B26</f>
        <v>Быков М. И.</v>
      </c>
      <c r="D48" s="14">
        <f>Опрос!C26</f>
        <v>3</v>
      </c>
      <c r="E48" s="14" t="str">
        <f>Опрос!D26</f>
        <v>да</v>
      </c>
      <c r="F48" s="14" t="str">
        <f>Опрос!E26</f>
        <v>да</v>
      </c>
      <c r="G48" s="14" t="str">
        <f>Опрос!F26</f>
        <v>не знаю</v>
      </c>
      <c r="H48" s="14" t="str">
        <f>Опрос!G26</f>
        <v>не знаю</v>
      </c>
      <c r="I48" s="14" t="str">
        <f>Опрос!H26</f>
        <v>нет</v>
      </c>
      <c r="J48" s="5" t="b">
        <f t="shared" si="1"/>
        <v>0</v>
      </c>
      <c r="K48" s="5" t="b">
        <f t="shared" si="2"/>
        <v>0</v>
      </c>
      <c r="L48" s="5" t="b">
        <f t="shared" si="3"/>
        <v>0</v>
      </c>
      <c r="M48" s="5">
        <f t="shared" si="4"/>
        <v>4</v>
      </c>
    </row>
    <row r="49" spans="2:13" x14ac:dyDescent="0.3">
      <c r="B49" s="42"/>
      <c r="C49" s="28" t="str">
        <f>Опрос!B27</f>
        <v>Никитина А. М.</v>
      </c>
      <c r="D49" s="14">
        <f>Опрос!C27</f>
        <v>3</v>
      </c>
      <c r="E49" s="14" t="str">
        <f>Опрос!D27</f>
        <v>да</v>
      </c>
      <c r="F49" s="14" t="str">
        <f>Опрос!E27</f>
        <v>да</v>
      </c>
      <c r="G49" s="14" t="str">
        <f>Опрос!F27</f>
        <v>не знаю</v>
      </c>
      <c r="H49" s="14" t="str">
        <f>Опрос!G27</f>
        <v>да</v>
      </c>
      <c r="I49" s="14" t="str">
        <f>Опрос!H27</f>
        <v>нет</v>
      </c>
      <c r="J49" s="5" t="b">
        <f t="shared" si="1"/>
        <v>1</v>
      </c>
      <c r="K49" s="5" t="b">
        <f t="shared" si="2"/>
        <v>0</v>
      </c>
      <c r="L49" s="5" t="b">
        <f t="shared" si="3"/>
        <v>0</v>
      </c>
      <c r="M49" s="5">
        <f t="shared" si="4"/>
        <v>5</v>
      </c>
    </row>
    <row r="50" spans="2:13" x14ac:dyDescent="0.3">
      <c r="B50" s="42"/>
      <c r="C50" s="28" t="str">
        <f>Опрос!B28</f>
        <v>Носов Г. М.</v>
      </c>
      <c r="D50" s="14">
        <f>Опрос!C28</f>
        <v>3</v>
      </c>
      <c r="E50" s="14" t="str">
        <f>Опрос!D28</f>
        <v>да</v>
      </c>
      <c r="F50" s="14" t="str">
        <f>Опрос!E28</f>
        <v>да</v>
      </c>
      <c r="G50" s="14" t="str">
        <f>Опрос!F28</f>
        <v>не знаю</v>
      </c>
      <c r="H50" s="14" t="str">
        <f>Опрос!G28</f>
        <v>не знаю</v>
      </c>
      <c r="I50" s="14" t="str">
        <f>Опрос!H28</f>
        <v>нет</v>
      </c>
      <c r="J50" s="5" t="b">
        <f t="shared" si="1"/>
        <v>0</v>
      </c>
      <c r="K50" s="5" t="b">
        <f t="shared" si="2"/>
        <v>0</v>
      </c>
      <c r="L50" s="5" t="b">
        <f t="shared" si="3"/>
        <v>0</v>
      </c>
      <c r="M50" s="5">
        <f t="shared" si="4"/>
        <v>4</v>
      </c>
    </row>
    <row r="51" spans="2:13" x14ac:dyDescent="0.3">
      <c r="B51" s="42"/>
      <c r="C51" s="28" t="str">
        <f>Опрос!B29</f>
        <v>Наумов М. А.</v>
      </c>
      <c r="D51" s="14">
        <f>Опрос!C29</f>
        <v>3</v>
      </c>
      <c r="E51" s="14" t="str">
        <f>Опрос!D29</f>
        <v>да</v>
      </c>
      <c r="F51" s="14" t="str">
        <f>Опрос!E29</f>
        <v>да</v>
      </c>
      <c r="G51" s="14" t="str">
        <f>Опрос!F29</f>
        <v>не знаю</v>
      </c>
      <c r="H51" s="14" t="str">
        <f>Опрос!G29</f>
        <v>да</v>
      </c>
      <c r="I51" s="14" t="str">
        <f>Опрос!H29</f>
        <v>нет</v>
      </c>
      <c r="J51" s="5" t="b">
        <f t="shared" si="1"/>
        <v>1</v>
      </c>
      <c r="K51" s="5" t="b">
        <f t="shared" si="2"/>
        <v>0</v>
      </c>
      <c r="L51" s="5" t="b">
        <f t="shared" si="3"/>
        <v>0</v>
      </c>
      <c r="M51" s="5">
        <f t="shared" si="4"/>
        <v>5</v>
      </c>
    </row>
    <row r="52" spans="2:13" x14ac:dyDescent="0.3">
      <c r="B52" s="42"/>
      <c r="C52" s="28" t="str">
        <f>Опрос!B30</f>
        <v>Андреев Д. А.</v>
      </c>
      <c r="D52" s="14">
        <f>Опрос!C30</f>
        <v>3</v>
      </c>
      <c r="E52" s="14" t="str">
        <f>Опрос!D30</f>
        <v>нет</v>
      </c>
      <c r="F52" s="14" t="str">
        <f>Опрос!E30</f>
        <v>да</v>
      </c>
      <c r="G52" s="14" t="str">
        <f>Опрос!F30</f>
        <v>нет</v>
      </c>
      <c r="H52" s="14" t="str">
        <f>Опрос!G30</f>
        <v>да</v>
      </c>
      <c r="I52" s="14" t="str">
        <f>Опрос!H30</f>
        <v>нет</v>
      </c>
      <c r="J52" s="5" t="b">
        <f t="shared" si="1"/>
        <v>0</v>
      </c>
      <c r="K52" s="5" t="b">
        <f t="shared" si="2"/>
        <v>0</v>
      </c>
      <c r="L52" s="5" t="b">
        <f t="shared" si="3"/>
        <v>0</v>
      </c>
      <c r="M52" s="5">
        <f t="shared" si="4"/>
        <v>3</v>
      </c>
    </row>
    <row r="53" spans="2:13" x14ac:dyDescent="0.3">
      <c r="B53" s="42"/>
      <c r="C53" s="28" t="str">
        <f>Опрос!B31</f>
        <v>Семин М. А.</v>
      </c>
      <c r="D53" s="14">
        <f>Опрос!C31</f>
        <v>3</v>
      </c>
      <c r="E53" s="14" t="str">
        <f>Опрос!D31</f>
        <v>нет</v>
      </c>
      <c r="F53" s="14" t="str">
        <f>Опрос!E31</f>
        <v>да</v>
      </c>
      <c r="G53" s="14" t="str">
        <f>Опрос!F31</f>
        <v>нет</v>
      </c>
      <c r="H53" s="14" t="str">
        <f>Опрос!G31</f>
        <v>да</v>
      </c>
      <c r="I53" s="14" t="str">
        <f>Опрос!H31</f>
        <v>нет</v>
      </c>
      <c r="J53" s="5" t="b">
        <f t="shared" si="1"/>
        <v>0</v>
      </c>
      <c r="K53" s="5" t="b">
        <f t="shared" si="2"/>
        <v>0</v>
      </c>
      <c r="L53" s="5" t="b">
        <f t="shared" si="3"/>
        <v>0</v>
      </c>
      <c r="M53" s="5">
        <f t="shared" si="4"/>
        <v>3</v>
      </c>
    </row>
    <row r="54" spans="2:13" x14ac:dyDescent="0.3">
      <c r="B54" s="42"/>
      <c r="C54" s="28" t="str">
        <f>Опрос!B32</f>
        <v>Иванова А. И.</v>
      </c>
      <c r="D54" s="14">
        <f>Опрос!C32</f>
        <v>3</v>
      </c>
      <c r="E54" s="14" t="str">
        <f>Опрос!D32</f>
        <v>нет</v>
      </c>
      <c r="F54" s="14" t="str">
        <f>Опрос!E32</f>
        <v>нет</v>
      </c>
      <c r="G54" s="14" t="str">
        <f>Опрос!F32</f>
        <v>нет</v>
      </c>
      <c r="H54" s="14" t="str">
        <f>Опрос!G32</f>
        <v>да</v>
      </c>
      <c r="I54" s="14" t="str">
        <f>Опрос!H32</f>
        <v>нет</v>
      </c>
      <c r="J54" s="5" t="b">
        <f t="shared" si="1"/>
        <v>0</v>
      </c>
      <c r="K54" s="5" t="b">
        <f t="shared" si="2"/>
        <v>0</v>
      </c>
      <c r="L54" s="5" t="b">
        <f t="shared" si="3"/>
        <v>0</v>
      </c>
      <c r="M54" s="5">
        <f t="shared" si="4"/>
        <v>2</v>
      </c>
    </row>
    <row r="55" spans="2:13" x14ac:dyDescent="0.3">
      <c r="B55" s="42"/>
      <c r="C55" s="28" t="str">
        <f>Опрос!B33</f>
        <v>Зайцева М. М.</v>
      </c>
      <c r="D55" s="14">
        <f>Опрос!C33</f>
        <v>3</v>
      </c>
      <c r="E55" s="14" t="str">
        <f>Опрос!D33</f>
        <v>нет</v>
      </c>
      <c r="F55" s="14" t="str">
        <f>Опрос!E33</f>
        <v>нет</v>
      </c>
      <c r="G55" s="14" t="str">
        <f>Опрос!F33</f>
        <v>нет</v>
      </c>
      <c r="H55" s="14" t="str">
        <f>Опрос!G33</f>
        <v>да</v>
      </c>
      <c r="I55" s="14" t="str">
        <f>Опрос!H33</f>
        <v>да</v>
      </c>
      <c r="J55" s="5" t="b">
        <f t="shared" si="1"/>
        <v>0</v>
      </c>
      <c r="K55" s="5" t="b">
        <f t="shared" si="2"/>
        <v>0</v>
      </c>
      <c r="L55" s="5" t="b">
        <f t="shared" si="3"/>
        <v>0</v>
      </c>
      <c r="M55" s="5">
        <f t="shared" si="4"/>
        <v>1</v>
      </c>
    </row>
    <row r="56" spans="2:13" x14ac:dyDescent="0.3">
      <c r="B56" s="42"/>
      <c r="C56" s="28" t="str">
        <f>Опрос!B34</f>
        <v>Матвеев А. И.</v>
      </c>
      <c r="D56" s="14">
        <f>Опрос!C34</f>
        <v>3</v>
      </c>
      <c r="E56" s="14" t="str">
        <f>Опрос!D34</f>
        <v>да</v>
      </c>
      <c r="F56" s="14" t="str">
        <f>Опрос!E34</f>
        <v>да</v>
      </c>
      <c r="G56" s="14" t="str">
        <f>Опрос!F34</f>
        <v>да</v>
      </c>
      <c r="H56" s="14" t="str">
        <f>Опрос!G34</f>
        <v>да</v>
      </c>
      <c r="I56" s="14" t="str">
        <f>Опрос!H34</f>
        <v>да</v>
      </c>
      <c r="J56" s="5" t="b">
        <f t="shared" si="1"/>
        <v>0</v>
      </c>
      <c r="K56" s="5" t="b">
        <f t="shared" si="2"/>
        <v>0</v>
      </c>
      <c r="L56" s="5" t="b">
        <f t="shared" si="3"/>
        <v>1</v>
      </c>
      <c r="M56" s="5">
        <f t="shared" si="4"/>
        <v>3</v>
      </c>
    </row>
    <row r="57" spans="2:13" ht="28.8" customHeight="1" x14ac:dyDescent="0.3">
      <c r="B57" s="43"/>
      <c r="C57" s="54" t="s">
        <v>42</v>
      </c>
      <c r="D57" s="55"/>
      <c r="E57" s="55"/>
      <c r="F57" s="56"/>
      <c r="G57" s="50" t="str">
        <f>INDEX(C27:C56,MATCH(TRUE,J27:J56,0))</f>
        <v>Ковалева А. К.</v>
      </c>
      <c r="H57" s="51"/>
      <c r="I57" s="57" t="s">
        <v>65</v>
      </c>
      <c r="J57" s="58"/>
      <c r="K57" s="59"/>
      <c r="L57" s="52">
        <f>COUNTIF(K27:K56,"=ИСТИНА")/20</f>
        <v>0.1</v>
      </c>
      <c r="M57" s="53"/>
    </row>
    <row r="60" spans="2:13" x14ac:dyDescent="0.3">
      <c r="B60" s="41">
        <v>8</v>
      </c>
      <c r="C60" s="49" t="s">
        <v>66</v>
      </c>
      <c r="D60" s="47"/>
      <c r="E60" s="47"/>
      <c r="F60" s="47"/>
      <c r="G60" s="48">
        <f>COUNTIFS($J$27:$J$56,TRUE,$D$27:$D$56,"1")</f>
        <v>1</v>
      </c>
      <c r="H60" s="45" t="s">
        <v>67</v>
      </c>
      <c r="I60" s="45"/>
      <c r="J60" s="45"/>
      <c r="K60" s="45"/>
      <c r="L60" s="46">
        <f>COUNTIF(D27:D56,1)-G60</f>
        <v>8</v>
      </c>
    </row>
    <row r="61" spans="2:13" x14ac:dyDescent="0.3">
      <c r="B61" s="42"/>
      <c r="C61" s="49" t="s">
        <v>68</v>
      </c>
      <c r="D61" s="47"/>
      <c r="E61" s="47"/>
      <c r="F61" s="47"/>
      <c r="G61" s="48">
        <f>COUNTIFS($J$27:$J$56,TRUE,$D$27:$D$56,"2")</f>
        <v>3</v>
      </c>
      <c r="H61" s="45" t="s">
        <v>69</v>
      </c>
      <c r="I61" s="45"/>
      <c r="J61" s="45"/>
      <c r="K61" s="45"/>
      <c r="L61" s="46">
        <f>COUNTIF(D28:D57,1)-G61</f>
        <v>6</v>
      </c>
      <c r="M61" s="3"/>
    </row>
    <row r="62" spans="2:13" x14ac:dyDescent="0.3">
      <c r="B62" s="42"/>
      <c r="C62" s="49" t="s">
        <v>70</v>
      </c>
      <c r="D62" s="47"/>
      <c r="E62" s="47"/>
      <c r="F62" s="47"/>
      <c r="G62" s="48">
        <f>COUNTIFS($J$27:$J$56,TRUE,$D$27:$D$56,"3")</f>
        <v>4</v>
      </c>
      <c r="H62" s="45" t="s">
        <v>71</v>
      </c>
      <c r="I62" s="45"/>
      <c r="J62" s="45"/>
      <c r="K62" s="45"/>
      <c r="L62" s="46">
        <f>COUNTIF(D29:D58,1)-G62</f>
        <v>5</v>
      </c>
    </row>
    <row r="63" spans="2:13" x14ac:dyDescent="0.3">
      <c r="B63" s="42"/>
    </row>
    <row r="64" spans="2:13" x14ac:dyDescent="0.3">
      <c r="B64" s="42"/>
    </row>
    <row r="65" spans="2:2" x14ac:dyDescent="0.3">
      <c r="B65" s="42"/>
    </row>
    <row r="66" spans="2:2" x14ac:dyDescent="0.3">
      <c r="B66" s="42"/>
    </row>
    <row r="67" spans="2:2" x14ac:dyDescent="0.3">
      <c r="B67" s="42"/>
    </row>
    <row r="68" spans="2:2" x14ac:dyDescent="0.3">
      <c r="B68" s="42"/>
    </row>
    <row r="69" spans="2:2" x14ac:dyDescent="0.3">
      <c r="B69" s="42"/>
    </row>
    <row r="70" spans="2:2" x14ac:dyDescent="0.3">
      <c r="B70" s="42"/>
    </row>
    <row r="71" spans="2:2" x14ac:dyDescent="0.3">
      <c r="B71" s="42"/>
    </row>
    <row r="72" spans="2:2" x14ac:dyDescent="0.3">
      <c r="B72" s="42"/>
    </row>
    <row r="73" spans="2:2" x14ac:dyDescent="0.3">
      <c r="B73" s="42"/>
    </row>
    <row r="74" spans="2:2" x14ac:dyDescent="0.3">
      <c r="B74" s="42"/>
    </row>
    <row r="75" spans="2:2" x14ac:dyDescent="0.3">
      <c r="B75" s="42"/>
    </row>
    <row r="76" spans="2:2" x14ac:dyDescent="0.3">
      <c r="B76" s="42"/>
    </row>
    <row r="77" spans="2:2" x14ac:dyDescent="0.3">
      <c r="B77" s="42"/>
    </row>
    <row r="78" spans="2:2" x14ac:dyDescent="0.3">
      <c r="B78" s="43"/>
    </row>
    <row r="79" spans="2:2" x14ac:dyDescent="0.3">
      <c r="B79" s="7"/>
    </row>
    <row r="81" spans="2:3" ht="43.2" x14ac:dyDescent="0.3">
      <c r="B81" s="37">
        <v>9</v>
      </c>
      <c r="C81" s="60" t="s">
        <v>73</v>
      </c>
    </row>
    <row r="82" spans="2:3" x14ac:dyDescent="0.3">
      <c r="B82" s="37"/>
      <c r="C82" s="61" t="str">
        <f>IF(E27=$C$10,C27,0)</f>
        <v>Андреев М. Л.</v>
      </c>
    </row>
    <row r="83" spans="2:3" ht="14.4" hidden="1" customHeight="1" x14ac:dyDescent="0.3">
      <c r="B83" s="37"/>
      <c r="C83" s="62">
        <f>IF(E28=$C$10,C28,0)</f>
        <v>0</v>
      </c>
    </row>
    <row r="84" spans="2:3" x14ac:dyDescent="0.3">
      <c r="B84" s="37"/>
      <c r="C84" s="62" t="str">
        <f>IF(E29=$C$10,C29,0)</f>
        <v>Зайцева В. Д.</v>
      </c>
    </row>
    <row r="85" spans="2:3" ht="14.4" hidden="1" customHeight="1" x14ac:dyDescent="0.3">
      <c r="B85" s="37"/>
      <c r="C85" s="62">
        <f>IF(E30=$C$10,C30,0)</f>
        <v>0</v>
      </c>
    </row>
    <row r="86" spans="2:3" x14ac:dyDescent="0.3">
      <c r="B86" s="37"/>
      <c r="C86" s="62" t="str">
        <f>IF(E31=$C$10,C31,0)</f>
        <v>Ковалева А. К.</v>
      </c>
    </row>
    <row r="87" spans="2:3" x14ac:dyDescent="0.3">
      <c r="B87" s="37"/>
      <c r="C87" s="62" t="str">
        <f>IF(E32=$C$10,C32,0)</f>
        <v>Гордеева Е. С.</v>
      </c>
    </row>
    <row r="88" spans="2:3" x14ac:dyDescent="0.3">
      <c r="B88" s="37"/>
      <c r="C88" s="62" t="str">
        <f>IF(E33=$C$10,C33,0)</f>
        <v>Попова А. Р.</v>
      </c>
    </row>
    <row r="89" spans="2:3" x14ac:dyDescent="0.3">
      <c r="B89" s="37"/>
      <c r="C89" s="62" t="str">
        <f>IF(E34=$C$10,C34,0)</f>
        <v>Павлова Т. Г.</v>
      </c>
    </row>
    <row r="90" spans="2:3" x14ac:dyDescent="0.3">
      <c r="B90" s="37"/>
      <c r="C90" s="62" t="str">
        <f>IF(E35=$C$10,C35,0)</f>
        <v>Яковлева В. Т.</v>
      </c>
    </row>
    <row r="91" spans="2:3" ht="14.4" hidden="1" customHeight="1" x14ac:dyDescent="0.3">
      <c r="B91" s="37"/>
      <c r="C91" s="62">
        <f>IF(E36=$C$10,C36,0)</f>
        <v>0</v>
      </c>
    </row>
    <row r="92" spans="2:3" ht="14.4" hidden="1" customHeight="1" x14ac:dyDescent="0.3">
      <c r="B92" s="37"/>
      <c r="C92" s="62">
        <f>IF(E37=$C$10,C37,0)</f>
        <v>0</v>
      </c>
    </row>
    <row r="93" spans="2:3" x14ac:dyDescent="0.3">
      <c r="B93" s="37"/>
      <c r="C93" s="62" t="str">
        <f>IF(E38=$C$10,C38,0)</f>
        <v>Потапов А. М.</v>
      </c>
    </row>
    <row r="94" spans="2:3" x14ac:dyDescent="0.3">
      <c r="B94" s="37"/>
      <c r="C94" s="62" t="str">
        <f>IF(E39=$C$10,C39,0)</f>
        <v>Логинов А. Т.</v>
      </c>
    </row>
    <row r="95" spans="2:3" x14ac:dyDescent="0.3">
      <c r="B95" s="37"/>
      <c r="C95" s="62" t="str">
        <f>IF(E40=$C$10,C40,0)</f>
        <v>Крюкова Е. С.</v>
      </c>
    </row>
    <row r="96" spans="2:3" x14ac:dyDescent="0.3">
      <c r="B96" s="37"/>
      <c r="C96" s="62" t="str">
        <f>IF(E41=$C$10,C41,0)</f>
        <v>Михайлова С. М.</v>
      </c>
    </row>
    <row r="97" spans="2:3" x14ac:dyDescent="0.3">
      <c r="B97" s="37"/>
      <c r="C97" s="62" t="str">
        <f>IF(E42=$C$10,C42,0)</f>
        <v>Морозов Д. Р.</v>
      </c>
    </row>
    <row r="98" spans="2:3" ht="14.4" hidden="1" customHeight="1" x14ac:dyDescent="0.3">
      <c r="B98" s="37"/>
      <c r="C98" s="62">
        <f>IF(E43=$C$10,C43,0)</f>
        <v>0</v>
      </c>
    </row>
    <row r="99" spans="2:3" ht="14.4" hidden="1" customHeight="1" x14ac:dyDescent="0.3">
      <c r="B99" s="37"/>
      <c r="C99" s="62">
        <f>IF(E44=$C$10,C44,0)</f>
        <v>0</v>
      </c>
    </row>
    <row r="100" spans="2:3" x14ac:dyDescent="0.3">
      <c r="B100" s="37"/>
      <c r="C100" s="62" t="str">
        <f>IF(E45=$C$10,C45,0)</f>
        <v>Евсеев И. П.</v>
      </c>
    </row>
    <row r="101" spans="2:3" x14ac:dyDescent="0.3">
      <c r="B101" s="37"/>
      <c r="C101" s="62" t="str">
        <f>IF(E46=$C$10,C46,0)</f>
        <v>Максимова В. С.</v>
      </c>
    </row>
    <row r="102" spans="2:3" x14ac:dyDescent="0.3">
      <c r="B102" s="37"/>
      <c r="C102" s="62" t="str">
        <f>IF(E47=$C$10,C47,0)</f>
        <v>Никитин А. Е.</v>
      </c>
    </row>
    <row r="103" spans="2:3" x14ac:dyDescent="0.3">
      <c r="B103" s="37"/>
      <c r="C103" s="62" t="str">
        <f>IF(E48=$C$10,C48,0)</f>
        <v>Быков М. И.</v>
      </c>
    </row>
    <row r="104" spans="2:3" x14ac:dyDescent="0.3">
      <c r="B104" s="37"/>
      <c r="C104" s="62" t="str">
        <f>IF(E49=$C$10,C49,0)</f>
        <v>Никитина А. М.</v>
      </c>
    </row>
    <row r="105" spans="2:3" x14ac:dyDescent="0.3">
      <c r="B105" s="37"/>
      <c r="C105" s="62" t="str">
        <f>IF(E50=$C$10,C50,0)</f>
        <v>Носов Г. М.</v>
      </c>
    </row>
    <row r="106" spans="2:3" x14ac:dyDescent="0.3">
      <c r="B106" s="37"/>
      <c r="C106" s="62" t="str">
        <f>IF(E51=$C$10,C51,0)</f>
        <v>Наумов М. А.</v>
      </c>
    </row>
    <row r="107" spans="2:3" ht="14.4" hidden="1" customHeight="1" x14ac:dyDescent="0.3">
      <c r="B107" s="37"/>
      <c r="C107" s="62">
        <f>IF(E52=$C$10,C52,0)</f>
        <v>0</v>
      </c>
    </row>
    <row r="108" spans="2:3" ht="14.4" hidden="1" customHeight="1" x14ac:dyDescent="0.3">
      <c r="B108" s="37"/>
      <c r="C108" s="62">
        <f>IF(E53=$C$10,C53,0)</f>
        <v>0</v>
      </c>
    </row>
    <row r="109" spans="2:3" ht="14.4" hidden="1" customHeight="1" x14ac:dyDescent="0.3">
      <c r="B109" s="37"/>
      <c r="C109" s="62">
        <f>IF(E54=$C$10,C54,0)</f>
        <v>0</v>
      </c>
    </row>
    <row r="110" spans="2:3" ht="14.4" hidden="1" customHeight="1" x14ac:dyDescent="0.3">
      <c r="B110" s="37"/>
      <c r="C110" s="62">
        <f>IF(E55=$C$10,C55,0)</f>
        <v>0</v>
      </c>
    </row>
    <row r="111" spans="2:3" x14ac:dyDescent="0.3">
      <c r="B111" s="37"/>
      <c r="C111" s="62" t="str">
        <f>IF(E56=$C$10,C56,0)</f>
        <v>Матвеев А. И.</v>
      </c>
    </row>
    <row r="112" spans="2:3" hidden="1" x14ac:dyDescent="0.3">
      <c r="B112" s="37"/>
      <c r="C112" s="63">
        <f>IF(E57=$C$10,C57,0)</f>
        <v>0</v>
      </c>
    </row>
    <row r="114" spans="2:7" x14ac:dyDescent="0.3">
      <c r="B114" s="37">
        <v>10</v>
      </c>
      <c r="C114" s="40" t="s">
        <v>74</v>
      </c>
      <c r="D114" s="40"/>
      <c r="E114" s="7"/>
      <c r="F114" s="7"/>
      <c r="G114" s="7"/>
    </row>
    <row r="115" spans="2:7" x14ac:dyDescent="0.3">
      <c r="B115" s="37"/>
      <c r="C115" s="40"/>
      <c r="D115" s="40"/>
      <c r="E115" s="8"/>
      <c r="F115" s="8"/>
      <c r="G115" s="8"/>
    </row>
    <row r="116" spans="2:7" x14ac:dyDescent="0.3">
      <c r="B116" s="37"/>
      <c r="C116" s="40"/>
      <c r="D116" s="40"/>
      <c r="E116" s="8"/>
      <c r="F116" s="8"/>
      <c r="G116" s="8"/>
    </row>
    <row r="117" spans="2:7" x14ac:dyDescent="0.3">
      <c r="B117" s="37"/>
      <c r="C117" s="40"/>
      <c r="D117" s="40"/>
      <c r="E117" s="8"/>
      <c r="F117" s="8"/>
      <c r="G117" s="8"/>
    </row>
    <row r="118" spans="2:7" x14ac:dyDescent="0.3">
      <c r="B118" s="37"/>
      <c r="C118" s="34" t="s">
        <v>45</v>
      </c>
      <c r="D118" s="64">
        <f>SUM(E21:E23)/30</f>
        <v>0.66666666666666663</v>
      </c>
      <c r="E118" s="8"/>
      <c r="F118" s="8"/>
      <c r="G118" s="8"/>
    </row>
    <row r="119" spans="2:7" x14ac:dyDescent="0.3">
      <c r="B119" s="37"/>
      <c r="C119" s="34" t="s">
        <v>46</v>
      </c>
      <c r="D119" s="64">
        <f>SUM(F21:F23)/30</f>
        <v>0.6333333333333333</v>
      </c>
      <c r="E119" s="8"/>
      <c r="F119" s="8"/>
      <c r="G119" s="8"/>
    </row>
    <row r="120" spans="2:7" x14ac:dyDescent="0.3">
      <c r="B120" s="37"/>
      <c r="C120" s="34" t="s">
        <v>47</v>
      </c>
      <c r="D120" s="64">
        <f>SUM(G21:G23)/30</f>
        <v>0.66666666666666663</v>
      </c>
    </row>
    <row r="121" spans="2:7" x14ac:dyDescent="0.3">
      <c r="B121" s="37"/>
      <c r="C121" s="34" t="s">
        <v>48</v>
      </c>
      <c r="D121" s="64">
        <f>SUM(H21:H23)/30</f>
        <v>0.73333333333333328</v>
      </c>
    </row>
    <row r="122" spans="2:7" x14ac:dyDescent="0.3">
      <c r="B122" s="37"/>
      <c r="C122" s="34" t="s">
        <v>49</v>
      </c>
      <c r="D122" s="64">
        <f>SUM(I21:I23)/30</f>
        <v>0.7</v>
      </c>
    </row>
    <row r="123" spans="2:7" x14ac:dyDescent="0.3">
      <c r="B123" s="37"/>
    </row>
    <row r="124" spans="2:7" x14ac:dyDescent="0.3">
      <c r="B124" s="37"/>
    </row>
    <row r="125" spans="2:7" x14ac:dyDescent="0.3">
      <c r="B125" s="37"/>
    </row>
    <row r="126" spans="2:7" x14ac:dyDescent="0.3">
      <c r="B126" s="37"/>
    </row>
    <row r="127" spans="2:7" x14ac:dyDescent="0.3">
      <c r="B127" s="37"/>
    </row>
    <row r="128" spans="2:7" x14ac:dyDescent="0.3">
      <c r="B128" s="37"/>
    </row>
    <row r="129" spans="2:2" x14ac:dyDescent="0.3">
      <c r="B129" s="37"/>
    </row>
    <row r="130" spans="2:2" x14ac:dyDescent="0.3">
      <c r="B130" s="37"/>
    </row>
    <row r="131" spans="2:2" x14ac:dyDescent="0.3">
      <c r="B131" s="25"/>
    </row>
    <row r="132" spans="2:2" x14ac:dyDescent="0.3">
      <c r="B132" s="25"/>
    </row>
    <row r="133" spans="2:2" x14ac:dyDescent="0.3">
      <c r="B133" s="25"/>
    </row>
    <row r="134" spans="2:2" x14ac:dyDescent="0.3">
      <c r="B134" s="25"/>
    </row>
    <row r="135" spans="2:2" x14ac:dyDescent="0.3">
      <c r="B135" s="25"/>
    </row>
    <row r="136" spans="2:2" x14ac:dyDescent="0.3">
      <c r="B136" s="25"/>
    </row>
  </sheetData>
  <mergeCells count="24">
    <mergeCell ref="C114:D117"/>
    <mergeCell ref="B114:B130"/>
    <mergeCell ref="B60:B78"/>
    <mergeCell ref="B81:B112"/>
    <mergeCell ref="C60:F60"/>
    <mergeCell ref="C61:F61"/>
    <mergeCell ref="C62:F62"/>
    <mergeCell ref="H60:K60"/>
    <mergeCell ref="H61:K61"/>
    <mergeCell ref="H62:K62"/>
    <mergeCell ref="I57:K57"/>
    <mergeCell ref="C57:F57"/>
    <mergeCell ref="L57:M57"/>
    <mergeCell ref="C19:H19"/>
    <mergeCell ref="B19:B23"/>
    <mergeCell ref="B26:B57"/>
    <mergeCell ref="G57:H57"/>
    <mergeCell ref="C16:F16"/>
    <mergeCell ref="C15:F15"/>
    <mergeCell ref="C14:F14"/>
    <mergeCell ref="B14:B16"/>
    <mergeCell ref="B3:G3"/>
    <mergeCell ref="B4:G4"/>
    <mergeCell ref="B9:G9"/>
  </mergeCells>
  <phoneticPr fontId="2" type="noConversion"/>
  <conditionalFormatting sqref="K23:K25">
    <cfRule type="expression" dxfId="6" priority="7">
      <formula>"макс(R39C4:R41C4)"</formula>
    </cfRule>
  </conditionalFormatting>
  <conditionalFormatting sqref="C11:G11">
    <cfRule type="cellIs" dxfId="5" priority="4" operator="equal">
      <formula>"не определено"</formula>
    </cfRule>
    <cfRule type="cellIs" dxfId="4" priority="5" operator="equal">
      <formula>"не принято"</formula>
    </cfRule>
    <cfRule type="cellIs" dxfId="3" priority="6" operator="equal">
      <formula>"принято"</formula>
    </cfRule>
  </conditionalFormatting>
  <conditionalFormatting sqref="J27:J56">
    <cfRule type="cellIs" dxfId="2" priority="3" operator="equal">
      <formula>TRUE</formula>
    </cfRule>
  </conditionalFormatting>
  <conditionalFormatting sqref="K27:K56">
    <cfRule type="cellIs" dxfId="1" priority="2" operator="equal">
      <formula>TRUE</formula>
    </cfRule>
  </conditionalFormatting>
  <conditionalFormatting sqref="L27:L56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22" formula="1"/>
  </ignoredErrors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Опрос</vt:lpstr>
      <vt:lpstr>Статистика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Gordeev</dc:creator>
  <cp:lastModifiedBy>Nikita Gordeev</cp:lastModifiedBy>
  <dcterms:created xsi:type="dcterms:W3CDTF">2021-12-15T09:00:17Z</dcterms:created>
  <dcterms:modified xsi:type="dcterms:W3CDTF">2021-12-15T17:30:34Z</dcterms:modified>
</cp:coreProperties>
</file>